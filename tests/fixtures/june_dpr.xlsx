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lfesha\AppData\Local\Microsoft\Windows\INetCache\Content.Outlook\PF50QI2V\"/>
    </mc:Choice>
  </mc:AlternateContent>
  <bookViews>
    <workbookView xWindow="0" yWindow="0" windowWidth="23040" windowHeight="9072" activeTab="2"/>
  </bookViews>
  <sheets>
    <sheet name="SPYKAR" sheetId="16" r:id="rId1"/>
    <sheet name="MONTE CARLO" sheetId="15" r:id="rId2"/>
    <sheet name="PEPE" sheetId="18" r:id="rId3"/>
    <sheet name="KKCL" sheetId="11" r:id="rId4"/>
    <sheet name="RAYMOND" sheetId="19" r:id="rId5"/>
    <sheet name="BENETTON" sheetId="20" r:id="rId6"/>
    <sheet name="ARVIND" sheetId="21" r:id="rId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21" l="1"/>
  <c r="E7" i="20"/>
  <c r="E29" i="19"/>
  <c r="E21" i="19"/>
  <c r="E18" i="19"/>
  <c r="E14" i="19"/>
  <c r="E8" i="19"/>
  <c r="E30" i="19" l="1"/>
  <c r="F15" i="18"/>
  <c r="F17" i="18" s="1"/>
  <c r="F11" i="18"/>
  <c r="F8" i="18"/>
  <c r="G60" i="16" l="1"/>
  <c r="G28" i="16"/>
  <c r="G39" i="16"/>
  <c r="F6" i="11"/>
  <c r="F20" i="11"/>
  <c r="F25" i="11"/>
  <c r="F23" i="15"/>
  <c r="F16" i="15"/>
  <c r="F18" i="15"/>
  <c r="F13" i="15"/>
  <c r="F9" i="15"/>
  <c r="F5" i="15"/>
  <c r="G58" i="16"/>
  <c r="G55" i="16"/>
  <c r="G48" i="16"/>
  <c r="G13" i="16"/>
  <c r="G17" i="16"/>
  <c r="G9" i="16"/>
  <c r="G6" i="16"/>
  <c r="F25" i="15" l="1"/>
  <c r="F27" i="11"/>
</calcChain>
</file>

<file path=xl/comments1.xml><?xml version="1.0" encoding="utf-8"?>
<comments xmlns="http://schemas.openxmlformats.org/spreadsheetml/2006/main">
  <authors>
    <author>Nathu Rai</author>
  </authors>
  <commentList>
    <comment ref="G22" authorId="0" shapeId="0">
      <text>
        <r>
          <rPr>
            <b/>
            <sz val="9"/>
            <color indexed="81"/>
            <rFont val="Tahoma"/>
            <family val="2"/>
          </rPr>
          <t>Nathu Rai:
Design confirmation rcvd 10.06.26 and need to developby own as per original</t>
        </r>
        <r>
          <rPr>
            <sz val="9"/>
            <color indexed="81"/>
            <rFont val="Tahoma"/>
            <family val="2"/>
          </rPr>
          <t xml:space="preserve">
print sent on 10.06.26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F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legmock sent 19/6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legmock sent 19/6</t>
        </r>
      </text>
    </comment>
    <comment ref="F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legmock sent 19/6</t>
        </r>
      </text>
    </comment>
    <comment ref="F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legmock sent 19/6</t>
        </r>
      </text>
    </comment>
    <comment ref="F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legmock sent 19/6</t>
        </r>
      </text>
    </comment>
    <comment ref="F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legmock sent 5/6</t>
        </r>
      </text>
    </comment>
    <comment ref="F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legmock sent 5/6</t>
        </r>
      </text>
    </comment>
    <comment ref="F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legmock sent 5/6</t>
        </r>
      </text>
    </comment>
    <comment ref="F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legmock sent 19/6</t>
        </r>
      </text>
    </comment>
    <comment ref="F1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legmock sent 19/6</t>
        </r>
      </text>
    </comment>
    <comment ref="F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legmock sent 19/6</t>
        </r>
      </text>
    </comment>
  </commentList>
</comments>
</file>

<file path=xl/sharedStrings.xml><?xml version="1.0" encoding="utf-8"?>
<sst xmlns="http://schemas.openxmlformats.org/spreadsheetml/2006/main" count="789" uniqueCount="342">
  <si>
    <t>CT</t>
  </si>
  <si>
    <t>Brand</t>
  </si>
  <si>
    <t>MATERIAL CODE</t>
  </si>
  <si>
    <t>Fabric</t>
  </si>
  <si>
    <t xml:space="preserve"> Qty </t>
  </si>
  <si>
    <t>remark</t>
  </si>
  <si>
    <t>FI DATE</t>
  </si>
  <si>
    <t>REG-924211</t>
  </si>
  <si>
    <t xml:space="preserve">SPYKAR </t>
  </si>
  <si>
    <t>FI DONE</t>
  </si>
  <si>
    <t>UNDER FINISHING</t>
  </si>
  <si>
    <t>B017</t>
  </si>
  <si>
    <t>Monte Carlo</t>
  </si>
  <si>
    <t>B018</t>
  </si>
  <si>
    <t>PEPE</t>
  </si>
  <si>
    <t>ASSEMBLY</t>
  </si>
  <si>
    <t>B032</t>
  </si>
  <si>
    <t>BULK PATTERN</t>
  </si>
  <si>
    <t>B027</t>
  </si>
  <si>
    <t>B028</t>
  </si>
  <si>
    <t>B029</t>
  </si>
  <si>
    <t>B002</t>
  </si>
  <si>
    <t>B023</t>
  </si>
  <si>
    <t>B024</t>
  </si>
  <si>
    <t xml:space="preserve">L CUTTING </t>
  </si>
  <si>
    <t>B003</t>
  </si>
  <si>
    <t>SEWING</t>
  </si>
  <si>
    <t>B020</t>
  </si>
  <si>
    <t>SIZE SET CUTTING</t>
  </si>
  <si>
    <t>B021</t>
  </si>
  <si>
    <t>B191</t>
  </si>
  <si>
    <t>B022</t>
  </si>
  <si>
    <t>SIZE SET UNDER APPROVAL</t>
  </si>
  <si>
    <t>SIZE SET WASHING (V)</t>
  </si>
  <si>
    <t>UNDER CUTTING</t>
  </si>
  <si>
    <t>B001</t>
  </si>
  <si>
    <t>B025</t>
  </si>
  <si>
    <t>UNDER SEWING</t>
  </si>
  <si>
    <t>B026</t>
  </si>
  <si>
    <t>B019</t>
  </si>
  <si>
    <t>UNDER WASHING</t>
  </si>
  <si>
    <t>EMDRO2BF011</t>
  </si>
  <si>
    <t>EMDRAF2BF009</t>
  </si>
  <si>
    <t>EMDRO2BF010</t>
  </si>
  <si>
    <t>EMDKN2BF006</t>
  </si>
  <si>
    <t>EMDKN2BF005</t>
  </si>
  <si>
    <t>2260870300DNW-1</t>
  </si>
  <si>
    <t>LITHUANIA04</t>
  </si>
  <si>
    <t>2260870300DNW-2</t>
  </si>
  <si>
    <t>CAMPARIN</t>
  </si>
  <si>
    <t>DF-30704</t>
  </si>
  <si>
    <t>HAWARD-R</t>
  </si>
  <si>
    <t>EMDKN2BF008</t>
  </si>
  <si>
    <t>EMDRO2BF012</t>
  </si>
  <si>
    <t>EMDNI2BF014</t>
  </si>
  <si>
    <t>CASPIAN-R</t>
  </si>
  <si>
    <t>HUDSONS-R</t>
  </si>
  <si>
    <t>EMDRAF2BF002</t>
  </si>
  <si>
    <t>EMDRC2BF006</t>
  </si>
  <si>
    <t>2260874539DN-1</t>
  </si>
  <si>
    <t>BUZZ2</t>
  </si>
  <si>
    <t>2260874540DN-1</t>
  </si>
  <si>
    <t>2260874541DN-1</t>
  </si>
  <si>
    <r>
      <rPr>
        <strike/>
        <sz val="11"/>
        <color theme="1"/>
        <rFont val="Calibri"/>
        <family val="2"/>
        <scheme val="minor"/>
      </rPr>
      <t>SHELODN</t>
    </r>
    <r>
      <rPr>
        <sz val="11"/>
        <color theme="1"/>
        <rFont val="Calibri"/>
        <family val="2"/>
        <scheme val="minor"/>
      </rPr>
      <t xml:space="preserve"> / TIGER05</t>
    </r>
  </si>
  <si>
    <t>CHIBOK</t>
  </si>
  <si>
    <t xml:space="preserve">24562STF </t>
  </si>
  <si>
    <t>2260874533DN-1</t>
  </si>
  <si>
    <t>BUZZGREY01</t>
  </si>
  <si>
    <t>2260874534DN-1</t>
  </si>
  <si>
    <t>EMDRC2BF019</t>
  </si>
  <si>
    <t>IND4-103-000</t>
  </si>
  <si>
    <t>EMDRAF2BF011</t>
  </si>
  <si>
    <t>EMDRC2BF015</t>
  </si>
  <si>
    <t>EMDRC2BF008</t>
  </si>
  <si>
    <t>IND3-103-000</t>
  </si>
  <si>
    <t>EMDCH2BF012</t>
  </si>
  <si>
    <t>EMDRO2BF009</t>
  </si>
  <si>
    <t>EMDNI2BF016</t>
  </si>
  <si>
    <t>EMDNI2BF017</t>
  </si>
  <si>
    <t>JHIBOK</t>
  </si>
  <si>
    <t>EMDRC2BF010</t>
  </si>
  <si>
    <t>EMDRO2BF017</t>
  </si>
  <si>
    <t>EMDNI2BF019</t>
  </si>
  <si>
    <t>EMDRC2BF018</t>
  </si>
  <si>
    <t>EMDKN2BF010</t>
  </si>
  <si>
    <t>EMDRO2BF019</t>
  </si>
  <si>
    <t>2260874529DN-1</t>
  </si>
  <si>
    <t>BUZZBLACK01</t>
  </si>
  <si>
    <t>2260874530DN-1</t>
  </si>
  <si>
    <t>2260874581DN-1</t>
  </si>
  <si>
    <t>200014/SC-4</t>
  </si>
  <si>
    <t>2260874531DN-1</t>
  </si>
  <si>
    <t>BUZZ4</t>
  </si>
  <si>
    <t>2260874516DN-1</t>
  </si>
  <si>
    <t>7221077R</t>
  </si>
  <si>
    <t>EMDRC2BF014</t>
  </si>
  <si>
    <t>EMDRC2BF016</t>
  </si>
  <si>
    <t>EMDRO2BF008</t>
  </si>
  <si>
    <t>EMDRC2BF009</t>
  </si>
  <si>
    <t>EMDKN2BF004</t>
  </si>
  <si>
    <t>MDCH2BF047</t>
  </si>
  <si>
    <t>FHANTOM-BLUE</t>
  </si>
  <si>
    <t>EMDRO2BF007</t>
  </si>
  <si>
    <t>EMDRC2BF007</t>
  </si>
  <si>
    <t>EMDRC2BF001</t>
  </si>
  <si>
    <t>EMDCH2BF009</t>
  </si>
  <si>
    <t>MDCH2BF048</t>
  </si>
  <si>
    <t>DM316262</t>
  </si>
  <si>
    <t>EMDCH2BF010</t>
  </si>
  <si>
    <t>EMDRNT2BF003</t>
  </si>
  <si>
    <t>EMDRAF2BF010</t>
  </si>
  <si>
    <t>EMDKN2BF007</t>
  </si>
  <si>
    <t>EMDRO2BF020</t>
  </si>
  <si>
    <t>EMDNI2BF018</t>
  </si>
  <si>
    <t>EMDRO1BF003</t>
  </si>
  <si>
    <t>FORLEN</t>
  </si>
  <si>
    <t>RDS-51218</t>
  </si>
  <si>
    <t>EMDRC2BF017</t>
  </si>
  <si>
    <t>EMDRO2BF018</t>
  </si>
  <si>
    <t>2260874535DN-1</t>
  </si>
  <si>
    <t>BUZZGREY/ BUZZGREY01</t>
  </si>
  <si>
    <t>2260874536DN-1</t>
  </si>
  <si>
    <r>
      <rPr>
        <strike/>
        <sz val="11"/>
        <color theme="1"/>
        <rFont val="Calibri"/>
        <family val="2"/>
        <scheme val="minor"/>
      </rPr>
      <t>BUZZGREY</t>
    </r>
    <r>
      <rPr>
        <sz val="11"/>
        <color theme="1"/>
        <rFont val="Calibri"/>
        <family val="2"/>
        <scheme val="minor"/>
      </rPr>
      <t>/ BUZZGREY01</t>
    </r>
  </si>
  <si>
    <t>2260874527DN-1</t>
  </si>
  <si>
    <r>
      <rPr>
        <strike/>
        <sz val="11"/>
        <color theme="1"/>
        <rFont val="Calibri"/>
        <family val="2"/>
        <scheme val="minor"/>
      </rPr>
      <t>BUZZ8</t>
    </r>
    <r>
      <rPr>
        <sz val="11"/>
        <color theme="1"/>
        <rFont val="Calibri"/>
        <family val="2"/>
        <scheme val="minor"/>
      </rPr>
      <t>/BUZZ7</t>
    </r>
  </si>
  <si>
    <t>EMDKN2BF009</t>
  </si>
  <si>
    <t>EMDCH2BF013</t>
  </si>
  <si>
    <t>EMDRAF2BF008</t>
  </si>
  <si>
    <t>Under Finishing</t>
  </si>
  <si>
    <t>Under Assembly Inside</t>
  </si>
  <si>
    <t>Under Assembly Side Munda</t>
  </si>
  <si>
    <t>Under Front Back checking</t>
  </si>
  <si>
    <t>Under Assembly (thread cutting)</t>
  </si>
  <si>
    <t>Under Back Ready Front Pending</t>
  </si>
  <si>
    <t>Under bulk pattern</t>
  </si>
  <si>
    <t>Under bulk pattern (Hold For Fabric)</t>
  </si>
  <si>
    <t>Cutting Done</t>
  </si>
  <si>
    <t>Under Cutting</t>
  </si>
  <si>
    <t>Emb. Done U/Print</t>
  </si>
  <si>
    <t>Under Loading Unit-2</t>
  </si>
  <si>
    <t>Emb. Rcvd</t>
  </si>
  <si>
    <t xml:space="preserve"> Cutting Pending L</t>
  </si>
  <si>
    <t>Front Sewing Ready Back pending</t>
  </si>
  <si>
    <t>Under Sewing</t>
  </si>
  <si>
    <t>Under Sewung Unit-2</t>
  </si>
  <si>
    <t>Under Loading</t>
  </si>
  <si>
    <t>Size set Approved</t>
  </si>
  <si>
    <t>Size set Under Washing ( Vashi)</t>
  </si>
  <si>
    <t>Under Emb.</t>
  </si>
  <si>
    <t>Cutting Pending</t>
  </si>
  <si>
    <t>Under washing</t>
  </si>
  <si>
    <t>CUTTING EMB/PRINT</t>
  </si>
  <si>
    <t>GRAND TOTAL</t>
  </si>
  <si>
    <t>B043</t>
  </si>
  <si>
    <t>KKCL</t>
  </si>
  <si>
    <t>EXPLORE-KJ-297 JVLNFT DMX</t>
  </si>
  <si>
    <t>Under Assembly</t>
  </si>
  <si>
    <t>B044</t>
  </si>
  <si>
    <t>EXPLORE-KJ-297 R/STRG DMX</t>
  </si>
  <si>
    <t>B045</t>
  </si>
  <si>
    <t>EXPLORE-KJ-297 SLMFT DMX</t>
  </si>
  <si>
    <t>B039</t>
  </si>
  <si>
    <t>SWAG-KJ-311 SLMFT RVNBK</t>
  </si>
  <si>
    <t>B040</t>
  </si>
  <si>
    <t>SWAG-KJ-311 STGHTFT RVNBK</t>
  </si>
  <si>
    <t>B041</t>
  </si>
  <si>
    <t>SWAG-KJ-315 SLMFT GLXBK</t>
  </si>
  <si>
    <t>B042</t>
  </si>
  <si>
    <t>SWAG-KJ-315 STGHTFT GLXBK</t>
  </si>
  <si>
    <t>B050</t>
  </si>
  <si>
    <t>EXPLORE-KJ-299 R/STRG DBLU</t>
  </si>
  <si>
    <t>B051</t>
  </si>
  <si>
    <t>EXPLORE-KJ-299 SLMFT DBLU</t>
  </si>
  <si>
    <t>B052</t>
  </si>
  <si>
    <t>EXPLORE-KJ-300 JVLNFT INDGBL</t>
  </si>
  <si>
    <t>B053</t>
  </si>
  <si>
    <t>EXPLORE-KJ-300 R/STRG INDGBL</t>
  </si>
  <si>
    <t>B054</t>
  </si>
  <si>
    <t>EXPLORE-KJ-300 SLMFT INDGBL</t>
  </si>
  <si>
    <t>B058</t>
  </si>
  <si>
    <t>SWAG-KJ-302 SLMFT STN</t>
  </si>
  <si>
    <t>B059</t>
  </si>
  <si>
    <t>SWAG-KJ-302 STGHTFT STN</t>
  </si>
  <si>
    <t>B060</t>
  </si>
  <si>
    <t>UNDER EMB.</t>
  </si>
  <si>
    <t>SWAG-KJ-307 SLMFT PCKBL</t>
  </si>
  <si>
    <t>B061</t>
  </si>
  <si>
    <t>SWAG-KJ-307 STGHTFT PCKBL</t>
  </si>
  <si>
    <t>B062</t>
  </si>
  <si>
    <t>SWAG-KJ-308 SLMFT PCKBL</t>
  </si>
  <si>
    <t>B063</t>
  </si>
  <si>
    <t>SWAG-KJ-308 STGHTFT PCKBL</t>
  </si>
  <si>
    <t>B064</t>
  </si>
  <si>
    <t>SWAG-KJ-320 SLMFT STNBLU</t>
  </si>
  <si>
    <t>B065</t>
  </si>
  <si>
    <t>SWAG-KJ-320 STGHTFT STNBLU</t>
  </si>
  <si>
    <t>DEPARTMENT</t>
  </si>
  <si>
    <t>UNDER ASSEMBLY</t>
  </si>
  <si>
    <t>SPYKAR</t>
  </si>
  <si>
    <t>CUTTING EMB</t>
  </si>
  <si>
    <t>MONTE CARLO</t>
  </si>
  <si>
    <t>CT NO</t>
  </si>
  <si>
    <t xml:space="preserve">buyer </t>
  </si>
  <si>
    <t>Department</t>
  </si>
  <si>
    <t xml:space="preserve">style </t>
  </si>
  <si>
    <t>Fabric no</t>
  </si>
  <si>
    <t>Order QTY</t>
  </si>
  <si>
    <t>Status 23.06.26</t>
  </si>
  <si>
    <t>B015</t>
  </si>
  <si>
    <t>UNDER FI</t>
  </si>
  <si>
    <t>HERNANDO</t>
  </si>
  <si>
    <t>B016</t>
  </si>
  <si>
    <t>HUDSONS</t>
  </si>
  <si>
    <t>REJIFF-H (E101)</t>
  </si>
  <si>
    <t>FLIPP</t>
  </si>
  <si>
    <t>CUTTING</t>
  </si>
  <si>
    <t>Rechecking</t>
  </si>
  <si>
    <t>Under Finishing/ washing</t>
  </si>
  <si>
    <t>CUUTING ISSUE BAL</t>
  </si>
  <si>
    <t>bulk pattern Ready</t>
  </si>
  <si>
    <t>total</t>
  </si>
  <si>
    <t>pepe</t>
  </si>
  <si>
    <t>WASH</t>
  </si>
  <si>
    <t>Mid Blue</t>
  </si>
  <si>
    <t>Dark Blue</t>
  </si>
  <si>
    <t>Tinted</t>
  </si>
  <si>
    <t>Light Blue</t>
  </si>
  <si>
    <t>Raw Blue</t>
  </si>
  <si>
    <t>DARK BLUE</t>
  </si>
  <si>
    <t>RAW BLUE</t>
  </si>
  <si>
    <t>Fab  DT</t>
  </si>
  <si>
    <t>RAYMOND</t>
  </si>
  <si>
    <t>A539</t>
  </si>
  <si>
    <t>CP</t>
  </si>
  <si>
    <t>CJYT00917-G7</t>
  </si>
  <si>
    <t>BPDR-42261</t>
  </si>
  <si>
    <t xml:space="preserve">Under finishing </t>
  </si>
  <si>
    <t>B153</t>
  </si>
  <si>
    <t>PARX</t>
  </si>
  <si>
    <t>XCYA04145-N8</t>
  </si>
  <si>
    <t>OD</t>
  </si>
  <si>
    <t xml:space="preserve">Under washing </t>
  </si>
  <si>
    <t>B150</t>
  </si>
  <si>
    <t>XCYA04139-S2</t>
  </si>
  <si>
    <t>B151</t>
  </si>
  <si>
    <t>XCYA04140-N4</t>
  </si>
  <si>
    <t>B155</t>
  </si>
  <si>
    <t>XCYA04143-B8</t>
  </si>
  <si>
    <t xml:space="preserve">Under assembly </t>
  </si>
  <si>
    <t>B152</t>
  </si>
  <si>
    <t>XCYA04141-G4</t>
  </si>
  <si>
    <t>A511</t>
  </si>
  <si>
    <t>XCYA04381-B8</t>
  </si>
  <si>
    <t>A512</t>
  </si>
  <si>
    <t>XCYA04169-B8</t>
  </si>
  <si>
    <t>A510</t>
  </si>
  <si>
    <t>XCYA04170-B7</t>
  </si>
  <si>
    <t>B156</t>
  </si>
  <si>
    <t>XCYA04147-H4</t>
  </si>
  <si>
    <t xml:space="preserve">Under sewing </t>
  </si>
  <si>
    <t>A513</t>
  </si>
  <si>
    <t>XCYN04271-B8</t>
  </si>
  <si>
    <t>A516</t>
  </si>
  <si>
    <t>XCYA04168-B9</t>
  </si>
  <si>
    <t>A560</t>
  </si>
  <si>
    <t>PA</t>
  </si>
  <si>
    <t>PCYA01175-P7</t>
  </si>
  <si>
    <t>805577/794038</t>
  </si>
  <si>
    <t>issued for cutting</t>
  </si>
  <si>
    <t>July</t>
  </si>
  <si>
    <t>A559</t>
  </si>
  <si>
    <t>PCYA01172-B9</t>
  </si>
  <si>
    <t>A533</t>
  </si>
  <si>
    <t>XCYA04171-B9</t>
  </si>
  <si>
    <t>1924 ST</t>
  </si>
  <si>
    <t xml:space="preserve">Issued for Bulk pattern </t>
  </si>
  <si>
    <t>B154</t>
  </si>
  <si>
    <t>XCYA04144-G6</t>
  </si>
  <si>
    <t xml:space="preserve">Under shrinkage making </t>
  </si>
  <si>
    <t>A532</t>
  </si>
  <si>
    <t>XCYA04172-B8</t>
  </si>
  <si>
    <t>A534</t>
  </si>
  <si>
    <t>XCYN04273-B9</t>
  </si>
  <si>
    <t>A535</t>
  </si>
  <si>
    <t>XCYN04274-B8</t>
  </si>
  <si>
    <t>A531</t>
  </si>
  <si>
    <t>XCYA04173-B6</t>
  </si>
  <si>
    <t>A536</t>
  </si>
  <si>
    <t>XCYX04312-B6</t>
  </si>
  <si>
    <t xml:space="preserve">Total Pcs </t>
  </si>
  <si>
    <t>BENETTON</t>
  </si>
  <si>
    <t xml:space="preserve">Brand </t>
  </si>
  <si>
    <t>Style No</t>
  </si>
  <si>
    <t xml:space="preserve">Qnty </t>
  </si>
  <si>
    <t xml:space="preserve">Status </t>
  </si>
  <si>
    <t>Fab In DT</t>
  </si>
  <si>
    <t>B163</t>
  </si>
  <si>
    <t xml:space="preserve">Benetton </t>
  </si>
  <si>
    <t>26A4REJE1294I</t>
  </si>
  <si>
    <t>MATIE</t>
  </si>
  <si>
    <t xml:space="preserve">Issued for cutting </t>
  </si>
  <si>
    <t>B161</t>
  </si>
  <si>
    <t>26A4REJE1233I</t>
  </si>
  <si>
    <t xml:space="preserve">Proto  U washing </t>
  </si>
  <si>
    <t>B157</t>
  </si>
  <si>
    <t>26A4REJE1225I</t>
  </si>
  <si>
    <t>DIVINITY</t>
  </si>
  <si>
    <t>Issued for Bulk pattern 23/6 - HOLD</t>
  </si>
  <si>
    <t>B158</t>
  </si>
  <si>
    <t>26A4DENCGY67I</t>
  </si>
  <si>
    <t>RAYDNM - 9283</t>
  </si>
  <si>
    <t>ARVIND</t>
  </si>
  <si>
    <t>FLYING Machine</t>
  </si>
  <si>
    <t>FMJEN10195</t>
  </si>
  <si>
    <t>RCY-24309D</t>
  </si>
  <si>
    <t>issued for size set</t>
  </si>
  <si>
    <t>FMJEN10195N</t>
  </si>
  <si>
    <t>FMJEN10197</t>
  </si>
  <si>
    <t>FMJEN10197N</t>
  </si>
  <si>
    <t>FMJEN10202</t>
  </si>
  <si>
    <t>FMJEN10196N</t>
  </si>
  <si>
    <t>921197JB</t>
  </si>
  <si>
    <t>FMJEN10263</t>
  </si>
  <si>
    <t>921197J</t>
  </si>
  <si>
    <t>Aug</t>
  </si>
  <si>
    <t>FMJEN10293</t>
  </si>
  <si>
    <t>FMJEN10295</t>
  </si>
  <si>
    <t>FMJEN10196</t>
  </si>
  <si>
    <t>Issued for size set</t>
  </si>
  <si>
    <t>FMJEN10269N</t>
  </si>
  <si>
    <t>pp to send for approval 25/6</t>
  </si>
  <si>
    <t>FMJEN10254</t>
  </si>
  <si>
    <t>FMJEN10269</t>
  </si>
  <si>
    <t>FMJEN10201</t>
  </si>
  <si>
    <t xml:space="preserve">  size set under washing</t>
  </si>
  <si>
    <t>FMJEN10200</t>
  </si>
  <si>
    <t>under PP approval</t>
  </si>
  <si>
    <t>FMJNO2513</t>
  </si>
  <si>
    <t>24576D</t>
  </si>
  <si>
    <t>FMJEN10198</t>
  </si>
  <si>
    <t>FMJEN10257</t>
  </si>
  <si>
    <t>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</si>
</sst>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trike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73">
    <xf numFmtId="0" fontId="0" fillId="0" borderId="0" xfId="0"/>
    <xf numFmtId="0" fontId="0" fillId="0" borderId="1" xfId="0" applyFill="1" applyBorder="1" applyAlignment="1">
      <alignment horizontal="center" vertical="center"/>
    </xf>
    <xf numFmtId="16" fontId="0" fillId="0" borderId="1" xfId="0" applyNumberForma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16" fontId="0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6" fontId="3" fillId="0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0" fillId="0" borderId="1" xfId="0" applyFont="1" applyBorder="1" applyAlignment="1">
      <alignment horizontal="center" vertical="center"/>
    </xf>
    <xf numFmtId="16" fontId="0" fillId="0" borderId="1" xfId="0" applyNumberFormat="1" applyFont="1" applyBorder="1" applyAlignment="1">
      <alignment horizontal="center" vertical="center"/>
    </xf>
    <xf numFmtId="0" fontId="0" fillId="0" borderId="0" xfId="0" applyFont="1"/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" fontId="0" fillId="0" borderId="0" xfId="0" applyNumberFormat="1"/>
    <xf numFmtId="1" fontId="3" fillId="0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6" fontId="9" fillId="0" borderId="3" xfId="0" applyNumberFormat="1" applyFont="1" applyBorder="1" applyAlignme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" fontId="3" fillId="2" borderId="1" xfId="0" applyNumberFormat="1" applyFont="1" applyFill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16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2">
    <cellStyle name="Normal" xfId="0" builtinId="0"/>
    <cellStyle name="Normal 4" xfId="1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0"/>
  <sheetViews>
    <sheetView workbookViewId="0">
      <selection activeCell="I21" sqref="I21"/>
    </sheetView>
  </sheetViews>
  <sheetFormatPr defaultRowHeight="14.4" x14ac:dyDescent="0.3"/>
  <cols>
    <col min="1" max="1" width="4" bestFit="1" customWidth="1"/>
    <col min="2" max="2" width="7.5546875" bestFit="1" customWidth="1"/>
    <col min="3" max="3" width="18.77734375" bestFit="1" customWidth="1"/>
    <col min="4" max="4" width="14.44140625" bestFit="1" customWidth="1"/>
    <col min="5" max="5" width="14.44140625" customWidth="1"/>
    <col min="6" max="6" width="14.6640625" bestFit="1" customWidth="1"/>
    <col min="7" max="7" width="6" bestFit="1" customWidth="1"/>
    <col min="8" max="8" width="30.5546875" bestFit="1" customWidth="1"/>
    <col min="9" max="9" width="11.33203125" bestFit="1" customWidth="1"/>
  </cols>
  <sheetData>
    <row r="1" spans="1:9" ht="25.8" x14ac:dyDescent="0.5">
      <c r="A1" s="60" t="s">
        <v>198</v>
      </c>
      <c r="B1" s="60"/>
      <c r="C1" s="60"/>
      <c r="D1" s="60"/>
      <c r="E1" s="60"/>
      <c r="F1" s="60"/>
      <c r="G1" s="60"/>
      <c r="H1" s="60"/>
      <c r="I1" s="36">
        <v>46197</v>
      </c>
    </row>
    <row r="2" spans="1:9" ht="31.2" x14ac:dyDescent="0.3">
      <c r="A2" s="6" t="s">
        <v>0</v>
      </c>
      <c r="B2" s="6" t="s">
        <v>1</v>
      </c>
      <c r="C2" s="6" t="s">
        <v>196</v>
      </c>
      <c r="D2" s="7" t="s">
        <v>2</v>
      </c>
      <c r="E2" s="7" t="s">
        <v>222</v>
      </c>
      <c r="F2" s="7" t="s">
        <v>3</v>
      </c>
      <c r="G2" s="7" t="s">
        <v>4</v>
      </c>
      <c r="H2" s="6" t="s">
        <v>5</v>
      </c>
      <c r="I2" s="6" t="s">
        <v>6</v>
      </c>
    </row>
    <row r="3" spans="1:9" x14ac:dyDescent="0.3">
      <c r="A3" s="1">
        <v>132</v>
      </c>
      <c r="B3" s="1" t="s">
        <v>8</v>
      </c>
      <c r="C3" s="2" t="s">
        <v>9</v>
      </c>
      <c r="D3" s="1" t="s">
        <v>41</v>
      </c>
      <c r="E3" s="1" t="s">
        <v>223</v>
      </c>
      <c r="F3" s="1">
        <v>40050</v>
      </c>
      <c r="G3" s="1">
        <v>750</v>
      </c>
      <c r="H3" s="1" t="s">
        <v>9</v>
      </c>
      <c r="I3" s="2">
        <v>46197</v>
      </c>
    </row>
    <row r="4" spans="1:9" x14ac:dyDescent="0.3">
      <c r="A4" s="1">
        <v>104</v>
      </c>
      <c r="B4" s="1" t="s">
        <v>8</v>
      </c>
      <c r="C4" s="2" t="s">
        <v>9</v>
      </c>
      <c r="D4" s="1" t="s">
        <v>42</v>
      </c>
      <c r="E4" s="1" t="s">
        <v>223</v>
      </c>
      <c r="F4" s="1">
        <v>40050</v>
      </c>
      <c r="G4" s="1">
        <v>750</v>
      </c>
      <c r="H4" s="1" t="s">
        <v>9</v>
      </c>
      <c r="I4" s="2">
        <v>46197</v>
      </c>
    </row>
    <row r="5" spans="1:9" x14ac:dyDescent="0.3">
      <c r="A5" s="1">
        <v>131</v>
      </c>
      <c r="B5" s="1" t="s">
        <v>8</v>
      </c>
      <c r="C5" s="2" t="s">
        <v>9</v>
      </c>
      <c r="D5" s="1" t="s">
        <v>43</v>
      </c>
      <c r="E5" s="1" t="s">
        <v>224</v>
      </c>
      <c r="F5" s="1">
        <v>40050</v>
      </c>
      <c r="G5" s="1">
        <v>750</v>
      </c>
      <c r="H5" s="1" t="s">
        <v>9</v>
      </c>
      <c r="I5" s="2">
        <v>46200</v>
      </c>
    </row>
    <row r="6" spans="1:9" x14ac:dyDescent="0.3">
      <c r="A6" s="1"/>
      <c r="B6" s="1"/>
      <c r="C6" s="2"/>
      <c r="D6" s="1"/>
      <c r="E6" s="1"/>
      <c r="F6" s="1"/>
      <c r="G6" s="8">
        <f>SUM(G3:G5)</f>
        <v>2250</v>
      </c>
      <c r="H6" s="1"/>
      <c r="I6" s="2"/>
    </row>
    <row r="7" spans="1:9" x14ac:dyDescent="0.3">
      <c r="A7" s="1">
        <v>84</v>
      </c>
      <c r="B7" s="1" t="s">
        <v>8</v>
      </c>
      <c r="C7" s="2" t="s">
        <v>10</v>
      </c>
      <c r="D7" s="1" t="s">
        <v>44</v>
      </c>
      <c r="E7" s="1" t="s">
        <v>224</v>
      </c>
      <c r="F7" s="1">
        <v>40050</v>
      </c>
      <c r="G7" s="1">
        <v>750</v>
      </c>
      <c r="H7" s="1" t="s">
        <v>128</v>
      </c>
      <c r="I7" s="2">
        <v>46200</v>
      </c>
    </row>
    <row r="8" spans="1:9" x14ac:dyDescent="0.3">
      <c r="A8" s="1">
        <v>83</v>
      </c>
      <c r="B8" s="1" t="s">
        <v>8</v>
      </c>
      <c r="C8" s="2" t="s">
        <v>10</v>
      </c>
      <c r="D8" s="1" t="s">
        <v>45</v>
      </c>
      <c r="E8" s="1" t="s">
        <v>224</v>
      </c>
      <c r="F8" s="1">
        <v>40050</v>
      </c>
      <c r="G8" s="1">
        <v>750</v>
      </c>
      <c r="H8" s="1" t="s">
        <v>128</v>
      </c>
      <c r="I8" s="2">
        <v>46200</v>
      </c>
    </row>
    <row r="9" spans="1:9" x14ac:dyDescent="0.3">
      <c r="A9" s="1"/>
      <c r="B9" s="1"/>
      <c r="C9" s="2"/>
      <c r="D9" s="1"/>
      <c r="E9" s="1"/>
      <c r="F9" s="1"/>
      <c r="G9" s="8">
        <f>SUM(G7:G8)</f>
        <v>1500</v>
      </c>
      <c r="H9" s="1"/>
      <c r="I9" s="2"/>
    </row>
    <row r="10" spans="1:9" x14ac:dyDescent="0.3">
      <c r="A10" s="1">
        <v>87</v>
      </c>
      <c r="B10" s="1" t="s">
        <v>8</v>
      </c>
      <c r="C10" s="2" t="s">
        <v>40</v>
      </c>
      <c r="D10" s="1" t="s">
        <v>125</v>
      </c>
      <c r="E10" s="1" t="s">
        <v>223</v>
      </c>
      <c r="F10" s="1">
        <v>40050</v>
      </c>
      <c r="G10" s="1">
        <v>750</v>
      </c>
      <c r="H10" s="1" t="s">
        <v>150</v>
      </c>
      <c r="I10" s="2">
        <v>46200</v>
      </c>
    </row>
    <row r="11" spans="1:9" x14ac:dyDescent="0.3">
      <c r="A11" s="1">
        <v>77</v>
      </c>
      <c r="B11" s="1" t="s">
        <v>8</v>
      </c>
      <c r="C11" s="2" t="s">
        <v>40</v>
      </c>
      <c r="D11" s="1" t="s">
        <v>126</v>
      </c>
      <c r="E11" s="1" t="s">
        <v>225</v>
      </c>
      <c r="F11" s="1">
        <v>40050</v>
      </c>
      <c r="G11" s="1">
        <v>750</v>
      </c>
      <c r="H11" s="1" t="s">
        <v>150</v>
      </c>
      <c r="I11" s="2">
        <v>46200</v>
      </c>
    </row>
    <row r="12" spans="1:9" x14ac:dyDescent="0.3">
      <c r="A12" s="1">
        <v>103</v>
      </c>
      <c r="B12" s="1" t="s">
        <v>8</v>
      </c>
      <c r="C12" s="2" t="s">
        <v>40</v>
      </c>
      <c r="D12" s="1" t="s">
        <v>127</v>
      </c>
      <c r="E12" s="1" t="s">
        <v>223</v>
      </c>
      <c r="F12" s="1">
        <v>40050</v>
      </c>
      <c r="G12" s="1">
        <v>750</v>
      </c>
      <c r="H12" s="1" t="s">
        <v>150</v>
      </c>
      <c r="I12" s="2">
        <v>46202</v>
      </c>
    </row>
    <row r="13" spans="1:9" x14ac:dyDescent="0.3">
      <c r="A13" s="1"/>
      <c r="B13" s="1"/>
      <c r="C13" s="2"/>
      <c r="D13" s="1"/>
      <c r="E13" s="1"/>
      <c r="F13" s="1"/>
      <c r="G13" s="8">
        <f>SUM(G10:G12)</f>
        <v>2250</v>
      </c>
      <c r="H13" s="1"/>
      <c r="I13" s="2"/>
    </row>
    <row r="14" spans="1:9" x14ac:dyDescent="0.3">
      <c r="A14" s="1">
        <v>86</v>
      </c>
      <c r="B14" s="1" t="s">
        <v>8</v>
      </c>
      <c r="C14" s="2" t="s">
        <v>15</v>
      </c>
      <c r="D14" s="1" t="s">
        <v>52</v>
      </c>
      <c r="E14" s="1" t="s">
        <v>225</v>
      </c>
      <c r="F14" s="1">
        <v>40050</v>
      </c>
      <c r="G14" s="1">
        <v>750</v>
      </c>
      <c r="H14" s="1" t="s">
        <v>129</v>
      </c>
      <c r="I14" s="2">
        <v>46202</v>
      </c>
    </row>
    <row r="15" spans="1:9" x14ac:dyDescent="0.3">
      <c r="A15" s="1">
        <v>133</v>
      </c>
      <c r="B15" s="1" t="s">
        <v>8</v>
      </c>
      <c r="C15" s="2" t="s">
        <v>15</v>
      </c>
      <c r="D15" s="1" t="s">
        <v>53</v>
      </c>
      <c r="E15" s="1" t="s">
        <v>225</v>
      </c>
      <c r="F15" s="1">
        <v>40050</v>
      </c>
      <c r="G15" s="1">
        <v>750</v>
      </c>
      <c r="H15" s="1" t="s">
        <v>130</v>
      </c>
      <c r="I15" s="2">
        <v>46202</v>
      </c>
    </row>
    <row r="16" spans="1:9" x14ac:dyDescent="0.3">
      <c r="A16" s="1">
        <v>92</v>
      </c>
      <c r="B16" s="1" t="s">
        <v>8</v>
      </c>
      <c r="C16" s="2" t="s">
        <v>15</v>
      </c>
      <c r="D16" s="1" t="s">
        <v>54</v>
      </c>
      <c r="E16" s="1" t="s">
        <v>223</v>
      </c>
      <c r="F16" s="1">
        <v>40050</v>
      </c>
      <c r="G16" s="1">
        <v>750</v>
      </c>
      <c r="H16" s="1" t="s">
        <v>131</v>
      </c>
      <c r="I16" s="2">
        <v>46202</v>
      </c>
    </row>
    <row r="17" spans="1:9" x14ac:dyDescent="0.3">
      <c r="A17" s="1"/>
      <c r="B17" s="1"/>
      <c r="C17" s="2"/>
      <c r="D17" s="1"/>
      <c r="E17" s="1"/>
      <c r="F17" s="1"/>
      <c r="G17" s="8">
        <f>SUM(G14:G16)</f>
        <v>2250</v>
      </c>
      <c r="H17" s="1"/>
      <c r="I17" s="2"/>
    </row>
    <row r="18" spans="1:9" x14ac:dyDescent="0.3">
      <c r="A18" s="1">
        <v>116</v>
      </c>
      <c r="B18" s="1" t="s">
        <v>8</v>
      </c>
      <c r="C18" s="2" t="s">
        <v>26</v>
      </c>
      <c r="D18" s="1" t="s">
        <v>80</v>
      </c>
      <c r="E18" s="1" t="s">
        <v>226</v>
      </c>
      <c r="F18" s="1">
        <v>40050</v>
      </c>
      <c r="G18" s="1">
        <v>750</v>
      </c>
      <c r="H18" s="1" t="s">
        <v>142</v>
      </c>
      <c r="I18" s="2">
        <v>46203</v>
      </c>
    </row>
    <row r="19" spans="1:9" x14ac:dyDescent="0.3">
      <c r="A19" s="1">
        <v>137</v>
      </c>
      <c r="B19" s="1" t="s">
        <v>8</v>
      </c>
      <c r="C19" s="1" t="s">
        <v>26</v>
      </c>
      <c r="D19" s="1" t="s">
        <v>81</v>
      </c>
      <c r="E19" s="1" t="s">
        <v>227</v>
      </c>
      <c r="F19" s="1" t="s">
        <v>70</v>
      </c>
      <c r="G19" s="1">
        <v>750</v>
      </c>
      <c r="H19" s="1" t="s">
        <v>143</v>
      </c>
      <c r="I19" s="2">
        <v>46203</v>
      </c>
    </row>
    <row r="20" spans="1:9" x14ac:dyDescent="0.3">
      <c r="A20" s="1">
        <v>96</v>
      </c>
      <c r="B20" s="1" t="s">
        <v>8</v>
      </c>
      <c r="C20" s="1" t="s">
        <v>26</v>
      </c>
      <c r="D20" s="1" t="s">
        <v>82</v>
      </c>
      <c r="E20" s="1" t="s">
        <v>226</v>
      </c>
      <c r="F20" s="1" t="s">
        <v>70</v>
      </c>
      <c r="G20" s="1">
        <v>750</v>
      </c>
      <c r="H20" s="1" t="s">
        <v>144</v>
      </c>
      <c r="I20" s="2">
        <v>46203</v>
      </c>
    </row>
    <row r="21" spans="1:9" x14ac:dyDescent="0.3">
      <c r="A21" s="1">
        <v>121</v>
      </c>
      <c r="B21" s="1" t="s">
        <v>8</v>
      </c>
      <c r="C21" s="1" t="s">
        <v>26</v>
      </c>
      <c r="D21" s="1" t="s">
        <v>83</v>
      </c>
      <c r="E21" s="1" t="s">
        <v>223</v>
      </c>
      <c r="F21" s="1" t="s">
        <v>70</v>
      </c>
      <c r="G21" s="1">
        <v>750</v>
      </c>
      <c r="H21" s="1" t="s">
        <v>144</v>
      </c>
      <c r="I21" s="2">
        <v>46203</v>
      </c>
    </row>
    <row r="22" spans="1:9" x14ac:dyDescent="0.3">
      <c r="A22" s="1">
        <v>88</v>
      </c>
      <c r="B22" s="1" t="s">
        <v>8</v>
      </c>
      <c r="C22" s="1" t="s">
        <v>26</v>
      </c>
      <c r="D22" s="1" t="s">
        <v>84</v>
      </c>
      <c r="E22" s="1" t="s">
        <v>227</v>
      </c>
      <c r="F22" s="1" t="s">
        <v>70</v>
      </c>
      <c r="G22" s="1">
        <v>750</v>
      </c>
      <c r="H22" s="1" t="s">
        <v>144</v>
      </c>
      <c r="I22" s="2">
        <v>46203</v>
      </c>
    </row>
    <row r="23" spans="1:9" x14ac:dyDescent="0.3">
      <c r="A23" s="1">
        <v>139</v>
      </c>
      <c r="B23" s="1" t="s">
        <v>8</v>
      </c>
      <c r="C23" s="1" t="s">
        <v>26</v>
      </c>
      <c r="D23" s="1" t="s">
        <v>85</v>
      </c>
      <c r="E23" s="1" t="s">
        <v>223</v>
      </c>
      <c r="F23" s="1" t="s">
        <v>70</v>
      </c>
      <c r="G23" s="1">
        <v>750</v>
      </c>
      <c r="H23" s="1" t="s">
        <v>145</v>
      </c>
      <c r="I23" s="2">
        <v>46203</v>
      </c>
    </row>
    <row r="24" spans="1:9" x14ac:dyDescent="0.3">
      <c r="A24" s="1">
        <v>120</v>
      </c>
      <c r="B24" s="1" t="s">
        <v>8</v>
      </c>
      <c r="C24" s="1" t="s">
        <v>26</v>
      </c>
      <c r="D24" s="1" t="s">
        <v>117</v>
      </c>
      <c r="E24" s="1" t="s">
        <v>227</v>
      </c>
      <c r="F24" s="1" t="s">
        <v>70</v>
      </c>
      <c r="G24" s="1">
        <v>750</v>
      </c>
      <c r="H24" s="1" t="s">
        <v>145</v>
      </c>
      <c r="I24" s="2">
        <v>46203</v>
      </c>
    </row>
    <row r="25" spans="1:9" x14ac:dyDescent="0.3">
      <c r="A25" s="1">
        <v>138</v>
      </c>
      <c r="B25" s="1" t="s">
        <v>8</v>
      </c>
      <c r="C25" s="1" t="s">
        <v>26</v>
      </c>
      <c r="D25" s="1" t="s">
        <v>118</v>
      </c>
      <c r="E25" s="1" t="s">
        <v>224</v>
      </c>
      <c r="F25" s="1" t="s">
        <v>70</v>
      </c>
      <c r="G25" s="1">
        <v>750</v>
      </c>
      <c r="H25" s="1" t="s">
        <v>145</v>
      </c>
      <c r="I25" s="2">
        <v>46203</v>
      </c>
    </row>
    <row r="26" spans="1:9" x14ac:dyDescent="0.3">
      <c r="A26" s="1">
        <v>122</v>
      </c>
      <c r="B26" s="1" t="s">
        <v>8</v>
      </c>
      <c r="C26" s="2" t="s">
        <v>26</v>
      </c>
      <c r="D26" s="1" t="s">
        <v>69</v>
      </c>
      <c r="E26" s="1" t="s">
        <v>226</v>
      </c>
      <c r="F26" s="1" t="s">
        <v>70</v>
      </c>
      <c r="G26" s="1">
        <v>750</v>
      </c>
      <c r="H26" s="1" t="s">
        <v>139</v>
      </c>
      <c r="I26" s="2">
        <v>46216</v>
      </c>
    </row>
    <row r="27" spans="1:9" x14ac:dyDescent="0.3">
      <c r="A27" s="1">
        <v>135</v>
      </c>
      <c r="B27" s="1" t="s">
        <v>8</v>
      </c>
      <c r="C27" s="2" t="s">
        <v>26</v>
      </c>
      <c r="D27" s="1" t="s">
        <v>114</v>
      </c>
      <c r="E27" s="1" t="s">
        <v>226</v>
      </c>
      <c r="F27" s="1">
        <v>40050</v>
      </c>
      <c r="G27" s="1">
        <v>750</v>
      </c>
      <c r="H27" s="1" t="s">
        <v>139</v>
      </c>
      <c r="I27" s="2">
        <v>46220</v>
      </c>
    </row>
    <row r="28" spans="1:9" x14ac:dyDescent="0.3">
      <c r="A28" s="1"/>
      <c r="B28" s="1"/>
      <c r="C28" s="1"/>
      <c r="D28" s="1"/>
      <c r="E28" s="1"/>
      <c r="F28" s="1"/>
      <c r="G28" s="8">
        <f>SUM(G18:G27)</f>
        <v>7500</v>
      </c>
      <c r="H28" s="1"/>
      <c r="I28" s="2"/>
    </row>
    <row r="29" spans="1:9" x14ac:dyDescent="0.3">
      <c r="A29" s="1">
        <v>106</v>
      </c>
      <c r="B29" s="1" t="s">
        <v>8</v>
      </c>
      <c r="C29" s="1" t="s">
        <v>199</v>
      </c>
      <c r="D29" s="1" t="s">
        <v>71</v>
      </c>
      <c r="E29" s="1" t="s">
        <v>224</v>
      </c>
      <c r="F29" s="1" t="s">
        <v>70</v>
      </c>
      <c r="G29" s="1">
        <v>750</v>
      </c>
      <c r="H29" s="1" t="s">
        <v>140</v>
      </c>
      <c r="I29" s="2">
        <v>46216</v>
      </c>
    </row>
    <row r="30" spans="1:9" x14ac:dyDescent="0.3">
      <c r="A30" s="1">
        <v>105</v>
      </c>
      <c r="B30" s="1" t="s">
        <v>8</v>
      </c>
      <c r="C30" s="1" t="s">
        <v>199</v>
      </c>
      <c r="D30" s="1" t="s">
        <v>110</v>
      </c>
      <c r="E30" s="1" t="s">
        <v>225</v>
      </c>
      <c r="F30" s="1">
        <v>40050</v>
      </c>
      <c r="G30" s="1">
        <v>750</v>
      </c>
      <c r="H30" s="1" t="s">
        <v>140</v>
      </c>
      <c r="I30" s="2">
        <v>46216</v>
      </c>
    </row>
    <row r="31" spans="1:9" x14ac:dyDescent="0.3">
      <c r="A31" s="1">
        <v>85</v>
      </c>
      <c r="B31" s="1" t="s">
        <v>8</v>
      </c>
      <c r="C31" s="1" t="s">
        <v>199</v>
      </c>
      <c r="D31" s="1" t="s">
        <v>111</v>
      </c>
      <c r="E31" s="1" t="s">
        <v>223</v>
      </c>
      <c r="F31" s="1">
        <v>40050</v>
      </c>
      <c r="G31" s="1">
        <v>750</v>
      </c>
      <c r="H31" s="1" t="s">
        <v>148</v>
      </c>
      <c r="I31" s="2">
        <v>46216</v>
      </c>
    </row>
    <row r="32" spans="1:9" x14ac:dyDescent="0.3">
      <c r="A32" s="1">
        <v>140</v>
      </c>
      <c r="B32" s="1" t="s">
        <v>8</v>
      </c>
      <c r="C32" s="1" t="s">
        <v>199</v>
      </c>
      <c r="D32" s="1" t="s">
        <v>112</v>
      </c>
      <c r="E32" s="1" t="s">
        <v>226</v>
      </c>
      <c r="F32" s="1" t="s">
        <v>70</v>
      </c>
      <c r="G32" s="1">
        <v>750</v>
      </c>
      <c r="H32" s="1" t="s">
        <v>148</v>
      </c>
      <c r="I32" s="2">
        <v>46220</v>
      </c>
    </row>
    <row r="33" spans="1:9" x14ac:dyDescent="0.3">
      <c r="A33" s="1">
        <v>95</v>
      </c>
      <c r="B33" s="1" t="s">
        <v>8</v>
      </c>
      <c r="C33" s="1" t="s">
        <v>199</v>
      </c>
      <c r="D33" s="1" t="s">
        <v>113</v>
      </c>
      <c r="E33" s="1" t="s">
        <v>223</v>
      </c>
      <c r="F33" s="1" t="s">
        <v>70</v>
      </c>
      <c r="G33" s="1">
        <v>750</v>
      </c>
      <c r="H33" s="1" t="s">
        <v>148</v>
      </c>
      <c r="I33" s="2">
        <v>46220</v>
      </c>
    </row>
    <row r="34" spans="1:9" x14ac:dyDescent="0.3">
      <c r="A34" s="1">
        <v>117</v>
      </c>
      <c r="B34" s="1" t="s">
        <v>8</v>
      </c>
      <c r="C34" s="1" t="s">
        <v>199</v>
      </c>
      <c r="D34" s="1" t="s">
        <v>95</v>
      </c>
      <c r="E34" s="1" t="s">
        <v>224</v>
      </c>
      <c r="F34" s="1" t="s">
        <v>70</v>
      </c>
      <c r="G34" s="1">
        <v>750</v>
      </c>
      <c r="H34" s="1" t="s">
        <v>148</v>
      </c>
      <c r="I34" s="2">
        <v>46220</v>
      </c>
    </row>
    <row r="35" spans="1:9" x14ac:dyDescent="0.3">
      <c r="A35" s="1">
        <v>119</v>
      </c>
      <c r="B35" s="1" t="s">
        <v>8</v>
      </c>
      <c r="C35" s="1" t="s">
        <v>199</v>
      </c>
      <c r="D35" s="1" t="s">
        <v>96</v>
      </c>
      <c r="E35" s="1" t="s">
        <v>226</v>
      </c>
      <c r="F35" s="1" t="s">
        <v>70</v>
      </c>
      <c r="G35" s="1">
        <v>750</v>
      </c>
      <c r="H35" s="1" t="s">
        <v>148</v>
      </c>
      <c r="I35" s="2">
        <v>46220</v>
      </c>
    </row>
    <row r="36" spans="1:9" x14ac:dyDescent="0.3">
      <c r="A36" s="1">
        <v>115</v>
      </c>
      <c r="B36" s="1" t="s">
        <v>8</v>
      </c>
      <c r="C36" s="1" t="s">
        <v>199</v>
      </c>
      <c r="D36" s="1" t="s">
        <v>98</v>
      </c>
      <c r="E36" s="1" t="s">
        <v>223</v>
      </c>
      <c r="F36" s="1" t="s">
        <v>74</v>
      </c>
      <c r="G36" s="1">
        <v>750</v>
      </c>
      <c r="H36" s="1" t="s">
        <v>148</v>
      </c>
      <c r="I36" s="2">
        <v>46223</v>
      </c>
    </row>
    <row r="37" spans="1:9" x14ac:dyDescent="0.3">
      <c r="A37" s="1">
        <v>82</v>
      </c>
      <c r="B37" s="1" t="s">
        <v>8</v>
      </c>
      <c r="C37" s="1" t="s">
        <v>199</v>
      </c>
      <c r="D37" s="1" t="s">
        <v>99</v>
      </c>
      <c r="E37" s="1" t="s">
        <v>223</v>
      </c>
      <c r="F37" s="1" t="s">
        <v>74</v>
      </c>
      <c r="G37" s="1">
        <v>750</v>
      </c>
      <c r="H37" s="1" t="s">
        <v>148</v>
      </c>
      <c r="I37" s="2">
        <v>46223</v>
      </c>
    </row>
    <row r="38" spans="1:9" x14ac:dyDescent="0.3">
      <c r="A38" s="1">
        <v>113</v>
      </c>
      <c r="B38" s="1" t="s">
        <v>8</v>
      </c>
      <c r="C38" s="1" t="s">
        <v>199</v>
      </c>
      <c r="D38" s="1" t="s">
        <v>103</v>
      </c>
      <c r="E38" s="1" t="s">
        <v>226</v>
      </c>
      <c r="F38" s="1" t="s">
        <v>74</v>
      </c>
      <c r="G38" s="1">
        <v>750</v>
      </c>
      <c r="H38" s="1" t="s">
        <v>148</v>
      </c>
      <c r="I38" s="2">
        <v>46226</v>
      </c>
    </row>
    <row r="39" spans="1:9" x14ac:dyDescent="0.3">
      <c r="A39" s="1"/>
      <c r="B39" s="1"/>
      <c r="C39" s="1"/>
      <c r="D39" s="1"/>
      <c r="E39" s="1"/>
      <c r="F39" s="1"/>
      <c r="G39" s="8">
        <f>SUM(G29:G38)</f>
        <v>7500</v>
      </c>
      <c r="H39" s="1"/>
      <c r="I39" s="2"/>
    </row>
    <row r="40" spans="1:9" x14ac:dyDescent="0.3">
      <c r="A40" s="1">
        <v>129</v>
      </c>
      <c r="B40" s="1" t="s">
        <v>8</v>
      </c>
      <c r="C40" s="1" t="s">
        <v>34</v>
      </c>
      <c r="D40" s="1" t="s">
        <v>97</v>
      </c>
      <c r="E40" s="1" t="s">
        <v>224</v>
      </c>
      <c r="F40" s="1" t="s">
        <v>74</v>
      </c>
      <c r="G40" s="1">
        <v>750</v>
      </c>
      <c r="H40" s="1" t="s">
        <v>149</v>
      </c>
      <c r="I40" s="2">
        <v>46223</v>
      </c>
    </row>
    <row r="41" spans="1:9" x14ac:dyDescent="0.3">
      <c r="A41" s="1">
        <v>80</v>
      </c>
      <c r="B41" s="1" t="s">
        <v>8</v>
      </c>
      <c r="C41" s="1" t="s">
        <v>34</v>
      </c>
      <c r="D41" s="1" t="s">
        <v>100</v>
      </c>
      <c r="E41" s="1" t="s">
        <v>228</v>
      </c>
      <c r="F41" s="1" t="s">
        <v>101</v>
      </c>
      <c r="G41" s="1">
        <v>1000</v>
      </c>
      <c r="H41" s="1" t="s">
        <v>137</v>
      </c>
      <c r="I41" s="2">
        <v>46223</v>
      </c>
    </row>
    <row r="42" spans="1:9" x14ac:dyDescent="0.3">
      <c r="A42" s="1">
        <v>128</v>
      </c>
      <c r="B42" s="1" t="s">
        <v>8</v>
      </c>
      <c r="C42" s="1" t="s">
        <v>34</v>
      </c>
      <c r="D42" s="1" t="s">
        <v>102</v>
      </c>
      <c r="E42" s="1" t="s">
        <v>223</v>
      </c>
      <c r="F42" s="1" t="s">
        <v>74</v>
      </c>
      <c r="G42" s="1">
        <v>750</v>
      </c>
      <c r="H42" s="1" t="s">
        <v>137</v>
      </c>
      <c r="I42" s="2">
        <v>46226</v>
      </c>
    </row>
    <row r="43" spans="1:9" x14ac:dyDescent="0.3">
      <c r="A43" s="1">
        <v>108</v>
      </c>
      <c r="B43" s="1" t="s">
        <v>8</v>
      </c>
      <c r="C43" s="1" t="s">
        <v>34</v>
      </c>
      <c r="D43" s="1" t="s">
        <v>104</v>
      </c>
      <c r="E43" s="1" t="s">
        <v>223</v>
      </c>
      <c r="F43" s="1">
        <v>7828</v>
      </c>
      <c r="G43" s="1">
        <v>750</v>
      </c>
      <c r="H43" s="1" t="s">
        <v>137</v>
      </c>
      <c r="I43" s="2">
        <v>46230</v>
      </c>
    </row>
    <row r="44" spans="1:9" x14ac:dyDescent="0.3">
      <c r="A44" s="1">
        <v>71</v>
      </c>
      <c r="B44" s="1" t="s">
        <v>8</v>
      </c>
      <c r="C44" s="1" t="s">
        <v>34</v>
      </c>
      <c r="D44" s="1" t="s">
        <v>105</v>
      </c>
      <c r="E44" s="1" t="s">
        <v>224</v>
      </c>
      <c r="F44" s="1">
        <v>7828</v>
      </c>
      <c r="G44" s="1">
        <v>750</v>
      </c>
      <c r="H44" s="1" t="s">
        <v>137</v>
      </c>
      <c r="I44" s="2">
        <v>46230</v>
      </c>
    </row>
    <row r="45" spans="1:9" x14ac:dyDescent="0.3">
      <c r="A45" s="1">
        <v>81</v>
      </c>
      <c r="B45" s="1" t="s">
        <v>8</v>
      </c>
      <c r="C45" s="1" t="s">
        <v>34</v>
      </c>
      <c r="D45" s="1" t="s">
        <v>106</v>
      </c>
      <c r="E45" s="1" t="s">
        <v>229</v>
      </c>
      <c r="F45" s="1" t="s">
        <v>107</v>
      </c>
      <c r="G45" s="1">
        <v>1000</v>
      </c>
      <c r="H45" s="1" t="s">
        <v>137</v>
      </c>
      <c r="I45" s="2">
        <v>46233</v>
      </c>
    </row>
    <row r="46" spans="1:9" x14ac:dyDescent="0.3">
      <c r="A46" s="1">
        <v>72</v>
      </c>
      <c r="B46" s="1" t="s">
        <v>8</v>
      </c>
      <c r="C46" s="1" t="s">
        <v>34</v>
      </c>
      <c r="D46" s="1" t="s">
        <v>108</v>
      </c>
      <c r="E46" s="1" t="s">
        <v>223</v>
      </c>
      <c r="F46" s="1">
        <v>7828</v>
      </c>
      <c r="G46" s="1">
        <v>750</v>
      </c>
      <c r="H46" s="1" t="s">
        <v>137</v>
      </c>
      <c r="I46" s="2">
        <v>46233</v>
      </c>
    </row>
    <row r="47" spans="1:9" x14ac:dyDescent="0.3">
      <c r="A47" s="1">
        <v>107</v>
      </c>
      <c r="B47" s="1" t="s">
        <v>8</v>
      </c>
      <c r="C47" s="1" t="s">
        <v>34</v>
      </c>
      <c r="D47" s="1" t="s">
        <v>109</v>
      </c>
      <c r="E47" s="1" t="s">
        <v>226</v>
      </c>
      <c r="F47" s="1">
        <v>7828</v>
      </c>
      <c r="G47" s="1">
        <v>750</v>
      </c>
      <c r="H47" s="1" t="s">
        <v>137</v>
      </c>
      <c r="I47" s="2">
        <v>46233</v>
      </c>
    </row>
    <row r="48" spans="1:9" x14ac:dyDescent="0.3">
      <c r="A48" s="1"/>
      <c r="B48" s="1"/>
      <c r="C48" s="2"/>
      <c r="D48" s="1"/>
      <c r="E48" s="1"/>
      <c r="F48" s="1"/>
      <c r="G48" s="8">
        <f>SUM(G40:G47)</f>
        <v>6500</v>
      </c>
      <c r="H48" s="1"/>
      <c r="I48" s="2"/>
    </row>
    <row r="49" spans="1:9" x14ac:dyDescent="0.3">
      <c r="A49" s="1">
        <v>94</v>
      </c>
      <c r="B49" s="1" t="s">
        <v>8</v>
      </c>
      <c r="C49" s="1" t="s">
        <v>24</v>
      </c>
      <c r="D49" s="1" t="s">
        <v>78</v>
      </c>
      <c r="E49" s="1" t="s">
        <v>227</v>
      </c>
      <c r="F49" s="1" t="s">
        <v>70</v>
      </c>
      <c r="G49" s="1">
        <v>750</v>
      </c>
      <c r="H49" s="1" t="s">
        <v>141</v>
      </c>
      <c r="I49" s="2">
        <v>46230</v>
      </c>
    </row>
    <row r="50" spans="1:9" x14ac:dyDescent="0.3">
      <c r="A50" s="1">
        <v>118</v>
      </c>
      <c r="B50" s="1" t="s">
        <v>8</v>
      </c>
      <c r="C50" s="1" t="s">
        <v>24</v>
      </c>
      <c r="D50" s="1" t="s">
        <v>72</v>
      </c>
      <c r="E50" s="1" t="s">
        <v>224</v>
      </c>
      <c r="F50" s="1" t="s">
        <v>70</v>
      </c>
      <c r="G50" s="1">
        <v>750</v>
      </c>
      <c r="H50" s="1" t="s">
        <v>141</v>
      </c>
      <c r="I50" s="2">
        <v>46230</v>
      </c>
    </row>
    <row r="51" spans="1:9" x14ac:dyDescent="0.3">
      <c r="A51" s="1">
        <v>114</v>
      </c>
      <c r="B51" s="1" t="s">
        <v>8</v>
      </c>
      <c r="C51" s="1" t="s">
        <v>24</v>
      </c>
      <c r="D51" s="1" t="s">
        <v>73</v>
      </c>
      <c r="E51" s="1" t="s">
        <v>224</v>
      </c>
      <c r="F51" s="1" t="s">
        <v>74</v>
      </c>
      <c r="G51" s="1">
        <v>750</v>
      </c>
      <c r="H51" s="1" t="s">
        <v>141</v>
      </c>
      <c r="I51" s="2">
        <v>46226</v>
      </c>
    </row>
    <row r="52" spans="1:9" x14ac:dyDescent="0.3">
      <c r="A52" s="1">
        <v>76</v>
      </c>
      <c r="B52" s="1" t="s">
        <v>8</v>
      </c>
      <c r="C52" s="1" t="s">
        <v>24</v>
      </c>
      <c r="D52" s="1" t="s">
        <v>75</v>
      </c>
      <c r="E52" s="1" t="s">
        <v>224</v>
      </c>
      <c r="F52" s="1" t="s">
        <v>74</v>
      </c>
      <c r="G52" s="1">
        <v>750</v>
      </c>
      <c r="H52" s="1" t="s">
        <v>141</v>
      </c>
      <c r="I52" s="2">
        <v>46226</v>
      </c>
    </row>
    <row r="53" spans="1:9" x14ac:dyDescent="0.3">
      <c r="A53" s="1">
        <v>130</v>
      </c>
      <c r="B53" s="1" t="s">
        <v>8</v>
      </c>
      <c r="C53" s="1" t="s">
        <v>24</v>
      </c>
      <c r="D53" s="1" t="s">
        <v>76</v>
      </c>
      <c r="E53" s="1" t="s">
        <v>223</v>
      </c>
      <c r="F53" s="1" t="s">
        <v>74</v>
      </c>
      <c r="G53" s="1">
        <v>750</v>
      </c>
      <c r="H53" s="1" t="s">
        <v>141</v>
      </c>
      <c r="I53" s="2">
        <v>46226</v>
      </c>
    </row>
    <row r="54" spans="1:9" x14ac:dyDescent="0.3">
      <c r="A54" s="1">
        <v>93</v>
      </c>
      <c r="B54" s="1" t="s">
        <v>8</v>
      </c>
      <c r="C54" s="1" t="s">
        <v>24</v>
      </c>
      <c r="D54" s="1" t="s">
        <v>77</v>
      </c>
      <c r="E54" s="1" t="s">
        <v>224</v>
      </c>
      <c r="F54" s="1" t="s">
        <v>70</v>
      </c>
      <c r="G54" s="1">
        <v>750</v>
      </c>
      <c r="H54" s="1" t="s">
        <v>141</v>
      </c>
      <c r="I54" s="2">
        <v>46230</v>
      </c>
    </row>
    <row r="55" spans="1:9" x14ac:dyDescent="0.3">
      <c r="A55" s="19"/>
      <c r="B55" s="19"/>
      <c r="C55" s="19"/>
      <c r="D55" s="19"/>
      <c r="E55" s="1"/>
      <c r="F55" s="19"/>
      <c r="G55" s="20">
        <f>SUM(G49:G54)</f>
        <v>4500</v>
      </c>
      <c r="H55" s="19"/>
      <c r="I55" s="19"/>
    </row>
    <row r="56" spans="1:9" x14ac:dyDescent="0.3">
      <c r="A56" s="1">
        <v>98</v>
      </c>
      <c r="B56" s="1" t="s">
        <v>8</v>
      </c>
      <c r="C56" s="1" t="s">
        <v>17</v>
      </c>
      <c r="D56" s="1" t="s">
        <v>57</v>
      </c>
      <c r="E56" s="1" t="s">
        <v>224</v>
      </c>
      <c r="F56" s="1">
        <v>7828</v>
      </c>
      <c r="G56" s="1">
        <v>750</v>
      </c>
      <c r="H56" s="1" t="s">
        <v>134</v>
      </c>
      <c r="I56" s="2">
        <v>46233</v>
      </c>
    </row>
    <row r="57" spans="1:9" x14ac:dyDescent="0.3">
      <c r="A57" s="3">
        <v>109</v>
      </c>
      <c r="B57" s="1" t="s">
        <v>8</v>
      </c>
      <c r="C57" s="3" t="s">
        <v>17</v>
      </c>
      <c r="D57" s="3" t="s">
        <v>58</v>
      </c>
      <c r="E57" s="1" t="s">
        <v>223</v>
      </c>
      <c r="F57" s="3">
        <v>7828</v>
      </c>
      <c r="G57" s="3">
        <v>750</v>
      </c>
      <c r="H57" s="3" t="s">
        <v>135</v>
      </c>
      <c r="I57" s="5">
        <v>46233</v>
      </c>
    </row>
    <row r="58" spans="1:9" x14ac:dyDescent="0.3">
      <c r="A58" s="3"/>
      <c r="B58" s="1"/>
      <c r="C58" s="3"/>
      <c r="D58" s="3"/>
      <c r="E58" s="1"/>
      <c r="F58" s="3"/>
      <c r="G58" s="8">
        <f>SUM(G56:G57)</f>
        <v>1500</v>
      </c>
      <c r="H58" s="3"/>
      <c r="I58" s="5"/>
    </row>
    <row r="60" spans="1:9" x14ac:dyDescent="0.3">
      <c r="F60" s="8" t="s">
        <v>152</v>
      </c>
      <c r="G60" s="13">
        <f>G58+G55+G48+G28+G39+G17+G13+G9+G6</f>
        <v>35750</v>
      </c>
    </row>
  </sheetData>
  <mergeCells count="1">
    <mergeCell ref="A1:H1"/>
  </mergeCells>
  <pageMargins left="0.70866141732283472" right="0.70866141732283472" top="0.74803149606299213" bottom="0.74803149606299213" header="0.31496062992125984" footer="0.31496062992125984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31"/>
  <sheetViews>
    <sheetView workbookViewId="0">
      <selection activeCell="F24" sqref="F24"/>
    </sheetView>
  </sheetViews>
  <sheetFormatPr defaultRowHeight="14.4" x14ac:dyDescent="0.3"/>
  <cols>
    <col min="1" max="1" width="5.109375" customWidth="1"/>
    <col min="2" max="2" width="11.21875" bestFit="1" customWidth="1"/>
    <col min="3" max="3" width="23.5546875" bestFit="1" customWidth="1"/>
    <col min="4" max="4" width="17.21875" bestFit="1" customWidth="1"/>
    <col min="5" max="5" width="21.6640625" bestFit="1" customWidth="1"/>
    <col min="6" max="6" width="9.44140625" bestFit="1" customWidth="1"/>
    <col min="7" max="7" width="27.77734375" bestFit="1" customWidth="1"/>
    <col min="8" max="8" width="8.109375" bestFit="1" customWidth="1"/>
  </cols>
  <sheetData>
    <row r="1" spans="1:8" x14ac:dyDescent="0.3">
      <c r="A1" s="61" t="s">
        <v>200</v>
      </c>
      <c r="B1" s="61"/>
      <c r="C1" s="61"/>
      <c r="D1" s="61"/>
      <c r="E1" s="61"/>
      <c r="F1" s="61"/>
      <c r="G1" s="61"/>
      <c r="H1" s="21">
        <v>46197</v>
      </c>
    </row>
    <row r="2" spans="1:8" ht="15.6" x14ac:dyDescent="0.3">
      <c r="A2" s="6" t="s">
        <v>0</v>
      </c>
      <c r="B2" s="6" t="s">
        <v>1</v>
      </c>
      <c r="C2" s="6" t="s">
        <v>196</v>
      </c>
      <c r="D2" s="7" t="s">
        <v>2</v>
      </c>
      <c r="E2" s="7" t="s">
        <v>3</v>
      </c>
      <c r="F2" s="7" t="s">
        <v>4</v>
      </c>
      <c r="G2" s="6" t="s">
        <v>5</v>
      </c>
      <c r="H2" s="6" t="s">
        <v>6</v>
      </c>
    </row>
    <row r="3" spans="1:8" x14ac:dyDescent="0.3">
      <c r="A3" s="1" t="s">
        <v>11</v>
      </c>
      <c r="B3" s="1" t="s">
        <v>12</v>
      </c>
      <c r="C3" s="2" t="s">
        <v>10</v>
      </c>
      <c r="D3" s="1" t="s">
        <v>46</v>
      </c>
      <c r="E3" s="1" t="s">
        <v>47</v>
      </c>
      <c r="F3" s="1">
        <v>600</v>
      </c>
      <c r="G3" s="1" t="s">
        <v>128</v>
      </c>
      <c r="H3" s="2">
        <v>46183</v>
      </c>
    </row>
    <row r="4" spans="1:8" x14ac:dyDescent="0.3">
      <c r="A4" s="1" t="s">
        <v>13</v>
      </c>
      <c r="B4" s="1" t="s">
        <v>12</v>
      </c>
      <c r="C4" s="2" t="s">
        <v>10</v>
      </c>
      <c r="D4" s="1" t="s">
        <v>48</v>
      </c>
      <c r="E4" s="1" t="s">
        <v>47</v>
      </c>
      <c r="F4" s="1">
        <v>530</v>
      </c>
      <c r="G4" s="1" t="s">
        <v>128</v>
      </c>
      <c r="H4" s="2">
        <v>46183</v>
      </c>
    </row>
    <row r="5" spans="1:8" x14ac:dyDescent="0.3">
      <c r="A5" s="1"/>
      <c r="B5" s="1"/>
      <c r="C5" s="2"/>
      <c r="D5" s="1"/>
      <c r="E5" s="1"/>
      <c r="F5" s="8">
        <f>SUM(F3:F4)</f>
        <v>1130</v>
      </c>
      <c r="G5" s="1"/>
      <c r="H5" s="2"/>
    </row>
    <row r="6" spans="1:8" x14ac:dyDescent="0.3">
      <c r="A6" s="1" t="s">
        <v>36</v>
      </c>
      <c r="B6" s="1" t="s">
        <v>12</v>
      </c>
      <c r="C6" s="1" t="s">
        <v>37</v>
      </c>
      <c r="D6" s="1" t="s">
        <v>119</v>
      </c>
      <c r="E6" s="1" t="s">
        <v>120</v>
      </c>
      <c r="F6" s="1">
        <v>650</v>
      </c>
      <c r="G6" s="1" t="s">
        <v>145</v>
      </c>
      <c r="H6" s="2">
        <v>46188</v>
      </c>
    </row>
    <row r="7" spans="1:8" x14ac:dyDescent="0.3">
      <c r="A7" s="1" t="s">
        <v>38</v>
      </c>
      <c r="B7" s="1" t="s">
        <v>12</v>
      </c>
      <c r="C7" s="1" t="s">
        <v>37</v>
      </c>
      <c r="D7" s="1" t="s">
        <v>121</v>
      </c>
      <c r="E7" s="1" t="s">
        <v>122</v>
      </c>
      <c r="F7" s="1">
        <v>500</v>
      </c>
      <c r="G7" s="1" t="s">
        <v>143</v>
      </c>
      <c r="H7" s="2">
        <v>46188</v>
      </c>
    </row>
    <row r="8" spans="1:8" x14ac:dyDescent="0.3">
      <c r="A8" s="1" t="s">
        <v>39</v>
      </c>
      <c r="B8" s="1" t="s">
        <v>12</v>
      </c>
      <c r="C8" s="1" t="s">
        <v>37</v>
      </c>
      <c r="D8" s="1" t="s">
        <v>123</v>
      </c>
      <c r="E8" s="1" t="s">
        <v>124</v>
      </c>
      <c r="F8" s="1">
        <v>700</v>
      </c>
      <c r="G8" s="1" t="s">
        <v>143</v>
      </c>
      <c r="H8" s="2">
        <v>46188</v>
      </c>
    </row>
    <row r="9" spans="1:8" x14ac:dyDescent="0.3">
      <c r="A9" s="1"/>
      <c r="B9" s="1"/>
      <c r="C9" s="1"/>
      <c r="D9" s="1"/>
      <c r="E9" s="1"/>
      <c r="F9" s="8">
        <f>SUM(F6:F8)</f>
        <v>1850</v>
      </c>
      <c r="G9" s="1"/>
      <c r="H9" s="2"/>
    </row>
    <row r="10" spans="1:8" x14ac:dyDescent="0.3">
      <c r="A10" s="1" t="s">
        <v>18</v>
      </c>
      <c r="B10" s="1" t="s">
        <v>12</v>
      </c>
      <c r="C10" s="1" t="s">
        <v>34</v>
      </c>
      <c r="D10" s="1" t="s">
        <v>59</v>
      </c>
      <c r="E10" s="1" t="s">
        <v>60</v>
      </c>
      <c r="F10" s="1">
        <v>650</v>
      </c>
      <c r="G10" s="1" t="s">
        <v>136</v>
      </c>
      <c r="H10" s="2">
        <v>46213</v>
      </c>
    </row>
    <row r="11" spans="1:8" x14ac:dyDescent="0.3">
      <c r="A11" s="1" t="s">
        <v>19</v>
      </c>
      <c r="B11" s="1" t="s">
        <v>12</v>
      </c>
      <c r="C11" s="1" t="s">
        <v>34</v>
      </c>
      <c r="D11" s="1" t="s">
        <v>61</v>
      </c>
      <c r="E11" s="1" t="s">
        <v>60</v>
      </c>
      <c r="F11" s="1">
        <v>540</v>
      </c>
      <c r="G11" s="1" t="s">
        <v>136</v>
      </c>
      <c r="H11" s="2">
        <v>46213</v>
      </c>
    </row>
    <row r="12" spans="1:8" x14ac:dyDescent="0.3">
      <c r="A12" s="1" t="s">
        <v>20</v>
      </c>
      <c r="B12" s="1" t="s">
        <v>12</v>
      </c>
      <c r="C12" s="1" t="s">
        <v>34</v>
      </c>
      <c r="D12" s="1" t="s">
        <v>62</v>
      </c>
      <c r="E12" s="1" t="s">
        <v>63</v>
      </c>
      <c r="F12" s="1">
        <v>550</v>
      </c>
      <c r="G12" s="1" t="s">
        <v>137</v>
      </c>
      <c r="H12" s="2">
        <v>46188</v>
      </c>
    </row>
    <row r="13" spans="1:8" x14ac:dyDescent="0.3">
      <c r="A13" s="1"/>
      <c r="B13" s="1"/>
      <c r="C13" s="1"/>
      <c r="D13" s="1"/>
      <c r="E13" s="1"/>
      <c r="F13" s="8">
        <f>SUM(F10:F12)</f>
        <v>1740</v>
      </c>
      <c r="G13" s="1"/>
      <c r="H13" s="2"/>
    </row>
    <row r="14" spans="1:8" x14ac:dyDescent="0.3">
      <c r="A14" s="1" t="s">
        <v>22</v>
      </c>
      <c r="B14" s="1" t="s">
        <v>12</v>
      </c>
      <c r="C14" s="1" t="s">
        <v>151</v>
      </c>
      <c r="D14" s="1" t="s">
        <v>66</v>
      </c>
      <c r="E14" s="1" t="s">
        <v>67</v>
      </c>
      <c r="F14" s="1">
        <v>750</v>
      </c>
      <c r="G14" s="1" t="s">
        <v>138</v>
      </c>
      <c r="H14" s="2">
        <v>46188</v>
      </c>
    </row>
    <row r="15" spans="1:8" x14ac:dyDescent="0.3">
      <c r="A15" s="1" t="s">
        <v>23</v>
      </c>
      <c r="B15" s="1" t="s">
        <v>12</v>
      </c>
      <c r="C15" s="1" t="s">
        <v>151</v>
      </c>
      <c r="D15" s="1" t="s">
        <v>68</v>
      </c>
      <c r="E15" s="1" t="s">
        <v>67</v>
      </c>
      <c r="F15" s="1">
        <v>650</v>
      </c>
      <c r="G15" s="1" t="s">
        <v>138</v>
      </c>
      <c r="H15" s="2">
        <v>46188</v>
      </c>
    </row>
    <row r="16" spans="1:8" x14ac:dyDescent="0.3">
      <c r="A16" s="1"/>
      <c r="B16" s="1"/>
      <c r="C16" s="1"/>
      <c r="D16" s="1"/>
      <c r="E16" s="1"/>
      <c r="F16" s="8">
        <f>SUM(F14:F15)</f>
        <v>1400</v>
      </c>
      <c r="G16" s="1"/>
      <c r="H16" s="2"/>
    </row>
    <row r="17" spans="1:8" x14ac:dyDescent="0.3">
      <c r="A17" s="1" t="s">
        <v>31</v>
      </c>
      <c r="B17" s="1" t="s">
        <v>12</v>
      </c>
      <c r="C17" s="1" t="s">
        <v>32</v>
      </c>
      <c r="D17" s="1" t="s">
        <v>91</v>
      </c>
      <c r="E17" s="1" t="s">
        <v>92</v>
      </c>
      <c r="F17" s="1">
        <v>750</v>
      </c>
      <c r="G17" s="1" t="s">
        <v>146</v>
      </c>
      <c r="H17" s="2">
        <v>46213</v>
      </c>
    </row>
    <row r="18" spans="1:8" x14ac:dyDescent="0.3">
      <c r="A18" s="1"/>
      <c r="B18" s="1"/>
      <c r="C18" s="1"/>
      <c r="D18" s="1"/>
      <c r="E18" s="1"/>
      <c r="F18" s="8">
        <f>SUM(F17)</f>
        <v>750</v>
      </c>
      <c r="G18" s="1"/>
      <c r="H18" s="2"/>
    </row>
    <row r="19" spans="1:8" x14ac:dyDescent="0.3">
      <c r="A19" s="1" t="s">
        <v>27</v>
      </c>
      <c r="B19" s="1" t="s">
        <v>12</v>
      </c>
      <c r="C19" s="1" t="s">
        <v>28</v>
      </c>
      <c r="D19" s="1" t="s">
        <v>86</v>
      </c>
      <c r="E19" s="1" t="s">
        <v>87</v>
      </c>
      <c r="F19" s="1">
        <v>600</v>
      </c>
      <c r="G19" s="1" t="s">
        <v>28</v>
      </c>
      <c r="H19" s="2">
        <v>46213</v>
      </c>
    </row>
    <row r="20" spans="1:8" x14ac:dyDescent="0.3">
      <c r="A20" s="1" t="s">
        <v>29</v>
      </c>
      <c r="B20" s="1" t="s">
        <v>12</v>
      </c>
      <c r="C20" s="1" t="s">
        <v>28</v>
      </c>
      <c r="D20" s="1" t="s">
        <v>88</v>
      </c>
      <c r="E20" s="1" t="s">
        <v>87</v>
      </c>
      <c r="F20" s="1">
        <v>600</v>
      </c>
      <c r="G20" s="1" t="s">
        <v>28</v>
      </c>
      <c r="H20" s="2">
        <v>46213</v>
      </c>
    </row>
    <row r="21" spans="1:8" x14ac:dyDescent="0.3">
      <c r="A21" s="1" t="s">
        <v>30</v>
      </c>
      <c r="B21" s="1" t="s">
        <v>12</v>
      </c>
      <c r="C21" s="1" t="s">
        <v>28</v>
      </c>
      <c r="D21" s="1" t="s">
        <v>89</v>
      </c>
      <c r="E21" s="1" t="s">
        <v>90</v>
      </c>
      <c r="F21" s="1">
        <v>800</v>
      </c>
      <c r="G21" s="1" t="s">
        <v>28</v>
      </c>
      <c r="H21" s="2">
        <v>46213</v>
      </c>
    </row>
    <row r="22" spans="1:8" x14ac:dyDescent="0.3">
      <c r="A22" s="1">
        <v>336</v>
      </c>
      <c r="B22" s="1" t="s">
        <v>12</v>
      </c>
      <c r="C22" s="1" t="s">
        <v>33</v>
      </c>
      <c r="D22" s="1" t="s">
        <v>93</v>
      </c>
      <c r="E22" s="1" t="s">
        <v>94</v>
      </c>
      <c r="F22" s="4">
        <v>850</v>
      </c>
      <c r="G22" s="1" t="s">
        <v>147</v>
      </c>
      <c r="H22" s="2">
        <v>46233</v>
      </c>
    </row>
    <row r="23" spans="1:8" x14ac:dyDescent="0.3">
      <c r="F23" s="12">
        <f>SUM(F19:F22)</f>
        <v>2850</v>
      </c>
    </row>
    <row r="25" spans="1:8" x14ac:dyDescent="0.3">
      <c r="D25" s="8" t="s">
        <v>200</v>
      </c>
      <c r="E25" s="8" t="s">
        <v>152</v>
      </c>
      <c r="F25" s="13">
        <f>F5+F9+F13+F16+F18+F23</f>
        <v>9720</v>
      </c>
    </row>
    <row r="27" spans="1:8" s="16" customFormat="1" x14ac:dyDescent="0.3"/>
    <row r="28" spans="1:8" s="16" customFormat="1" x14ac:dyDescent="0.3"/>
    <row r="29" spans="1:8" s="16" customFormat="1" x14ac:dyDescent="0.3"/>
    <row r="31" spans="1:8" s="16" customFormat="1" x14ac:dyDescent="0.3"/>
  </sheetData>
  <mergeCells count="1">
    <mergeCell ref="A1:G1"/>
  </mergeCells>
  <pageMargins left="0.70866141732283472" right="0.70866141732283472" top="0.74803149606299213" bottom="0.74803149606299213" header="0.31496062992125984" footer="0.31496062992125984"/>
  <pageSetup scale="8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L11" sqref="L11"/>
    </sheetView>
  </sheetViews>
  <sheetFormatPr defaultRowHeight="14.4" x14ac:dyDescent="0.3"/>
  <cols>
    <col min="1" max="1" width="6.21875" bestFit="1" customWidth="1"/>
    <col min="2" max="2" width="6.33203125" bestFit="1" customWidth="1"/>
    <col min="3" max="3" width="17.77734375" bestFit="1" customWidth="1"/>
    <col min="4" max="4" width="13.6640625" bestFit="1" customWidth="1"/>
    <col min="5" max="5" width="9.88671875" bestFit="1" customWidth="1"/>
    <col min="6" max="6" width="9.5546875" bestFit="1" customWidth="1"/>
    <col min="7" max="7" width="27.77734375" bestFit="1" customWidth="1"/>
    <col min="8" max="8" width="7.33203125" bestFit="1" customWidth="1"/>
  </cols>
  <sheetData>
    <row r="1" spans="1:8" ht="15" thickBot="1" x14ac:dyDescent="0.35">
      <c r="A1" s="72" t="s">
        <v>14</v>
      </c>
      <c r="B1" s="72"/>
      <c r="C1" s="72"/>
      <c r="D1" s="72"/>
      <c r="E1" s="72"/>
      <c r="F1" s="72"/>
      <c r="G1" s="72"/>
      <c r="H1" s="72"/>
    </row>
    <row r="2" spans="1:8" x14ac:dyDescent="0.3">
      <c r="A2" s="33" t="s">
        <v>201</v>
      </c>
      <c r="B2" s="34" t="s">
        <v>202</v>
      </c>
      <c r="C2" s="35" t="s">
        <v>203</v>
      </c>
      <c r="D2" s="34" t="s">
        <v>204</v>
      </c>
      <c r="E2" s="34" t="s">
        <v>205</v>
      </c>
      <c r="F2" s="34" t="s">
        <v>206</v>
      </c>
      <c r="G2" s="34" t="s">
        <v>207</v>
      </c>
      <c r="H2" s="34" t="s">
        <v>6</v>
      </c>
    </row>
    <row r="3" spans="1:8" x14ac:dyDescent="0.3">
      <c r="A3" s="14" t="s">
        <v>208</v>
      </c>
      <c r="B3" s="14" t="s">
        <v>14</v>
      </c>
      <c r="C3" s="15" t="s">
        <v>209</v>
      </c>
      <c r="D3" s="31" t="s">
        <v>210</v>
      </c>
      <c r="E3" s="14">
        <v>24575</v>
      </c>
      <c r="F3" s="14">
        <v>844</v>
      </c>
      <c r="G3" s="14" t="s">
        <v>216</v>
      </c>
      <c r="H3" s="15">
        <v>46172</v>
      </c>
    </row>
    <row r="4" spans="1:8" x14ac:dyDescent="0.3">
      <c r="A4" s="14">
        <v>453</v>
      </c>
      <c r="B4" s="14" t="s">
        <v>14</v>
      </c>
      <c r="C4" s="15" t="s">
        <v>10</v>
      </c>
      <c r="D4" s="14" t="s">
        <v>213</v>
      </c>
      <c r="E4" s="14" t="s">
        <v>214</v>
      </c>
      <c r="F4" s="14">
        <v>1215</v>
      </c>
      <c r="G4" s="14" t="s">
        <v>128</v>
      </c>
      <c r="H4" s="15">
        <v>46172</v>
      </c>
    </row>
    <row r="5" spans="1:8" x14ac:dyDescent="0.3">
      <c r="A5" s="14">
        <v>548</v>
      </c>
      <c r="B5" s="14" t="s">
        <v>14</v>
      </c>
      <c r="C5" s="15" t="s">
        <v>10</v>
      </c>
      <c r="D5" s="14" t="s">
        <v>49</v>
      </c>
      <c r="E5" s="14" t="s">
        <v>50</v>
      </c>
      <c r="F5" s="14">
        <v>891</v>
      </c>
      <c r="G5" s="14" t="s">
        <v>128</v>
      </c>
      <c r="H5" s="15">
        <v>46213</v>
      </c>
    </row>
    <row r="6" spans="1:8" x14ac:dyDescent="0.3">
      <c r="A6" s="17" t="s">
        <v>211</v>
      </c>
      <c r="B6" s="17" t="s">
        <v>14</v>
      </c>
      <c r="C6" s="18" t="s">
        <v>40</v>
      </c>
      <c r="D6" s="30" t="s">
        <v>212</v>
      </c>
      <c r="E6" s="17">
        <v>24575</v>
      </c>
      <c r="F6" s="17">
        <v>1135</v>
      </c>
      <c r="G6" s="14" t="s">
        <v>128</v>
      </c>
      <c r="H6" s="18">
        <v>46172</v>
      </c>
    </row>
    <row r="7" spans="1:8" x14ac:dyDescent="0.3">
      <c r="A7" s="14">
        <v>149</v>
      </c>
      <c r="B7" s="14" t="s">
        <v>14</v>
      </c>
      <c r="C7" s="15" t="s">
        <v>10</v>
      </c>
      <c r="D7" s="31" t="s">
        <v>51</v>
      </c>
      <c r="E7" s="14">
        <v>299052</v>
      </c>
      <c r="F7" s="14">
        <v>636</v>
      </c>
      <c r="G7" s="14" t="s">
        <v>217</v>
      </c>
      <c r="H7" s="15">
        <v>46212</v>
      </c>
    </row>
    <row r="8" spans="1:8" x14ac:dyDescent="0.3">
      <c r="A8" s="17"/>
      <c r="B8" s="17"/>
      <c r="C8" s="18"/>
      <c r="D8" s="30"/>
      <c r="E8" s="17"/>
      <c r="F8" s="28">
        <f>SUM(F3:F6)</f>
        <v>4085</v>
      </c>
      <c r="G8" s="14"/>
      <c r="H8" s="18"/>
    </row>
    <row r="9" spans="1:8" x14ac:dyDescent="0.3">
      <c r="A9" s="17">
        <v>148</v>
      </c>
      <c r="B9" s="17" t="s">
        <v>14</v>
      </c>
      <c r="C9" s="18" t="s">
        <v>15</v>
      </c>
      <c r="D9" s="30" t="s">
        <v>55</v>
      </c>
      <c r="E9" s="17">
        <v>492012</v>
      </c>
      <c r="F9" s="17">
        <v>1094</v>
      </c>
      <c r="G9" s="17" t="s">
        <v>132</v>
      </c>
      <c r="H9" s="18">
        <v>46208</v>
      </c>
    </row>
    <row r="10" spans="1:8" x14ac:dyDescent="0.3">
      <c r="A10" s="17" t="s">
        <v>16</v>
      </c>
      <c r="B10" s="17" t="s">
        <v>14</v>
      </c>
      <c r="C10" s="18" t="s">
        <v>15</v>
      </c>
      <c r="D10" s="30" t="s">
        <v>56</v>
      </c>
      <c r="E10" s="17">
        <v>24575</v>
      </c>
      <c r="F10" s="17">
        <v>725</v>
      </c>
      <c r="G10" s="17" t="s">
        <v>133</v>
      </c>
      <c r="H10" s="18">
        <v>46227</v>
      </c>
    </row>
    <row r="11" spans="1:8" x14ac:dyDescent="0.3">
      <c r="A11" s="17"/>
      <c r="B11" s="17"/>
      <c r="C11" s="18"/>
      <c r="D11" s="30"/>
      <c r="E11" s="17"/>
      <c r="F11" s="28">
        <f>SUM(F9:F10)</f>
        <v>1819</v>
      </c>
      <c r="G11" s="17"/>
      <c r="H11" s="18"/>
    </row>
    <row r="12" spans="1:8" x14ac:dyDescent="0.3">
      <c r="A12" s="17" t="s">
        <v>35</v>
      </c>
      <c r="B12" s="17" t="s">
        <v>14</v>
      </c>
      <c r="C12" s="17" t="s">
        <v>184</v>
      </c>
      <c r="D12" s="17" t="s">
        <v>115</v>
      </c>
      <c r="E12" s="17" t="s">
        <v>116</v>
      </c>
      <c r="F12" s="17">
        <v>736</v>
      </c>
      <c r="G12" s="17" t="s">
        <v>148</v>
      </c>
      <c r="H12" s="18">
        <v>46202</v>
      </c>
    </row>
    <row r="13" spans="1:8" x14ac:dyDescent="0.3">
      <c r="A13" s="17" t="s">
        <v>21</v>
      </c>
      <c r="B13" s="17" t="s">
        <v>14</v>
      </c>
      <c r="C13" s="17" t="s">
        <v>215</v>
      </c>
      <c r="D13" s="17" t="s">
        <v>64</v>
      </c>
      <c r="E13" s="17" t="s">
        <v>65</v>
      </c>
      <c r="F13" s="17">
        <v>1578</v>
      </c>
      <c r="G13" s="17" t="s">
        <v>137</v>
      </c>
      <c r="H13" s="18">
        <v>46233</v>
      </c>
    </row>
    <row r="14" spans="1:8" x14ac:dyDescent="0.3">
      <c r="A14" s="17" t="s">
        <v>25</v>
      </c>
      <c r="B14" s="17" t="s">
        <v>14</v>
      </c>
      <c r="C14" s="17" t="s">
        <v>218</v>
      </c>
      <c r="D14" s="17" t="s">
        <v>79</v>
      </c>
      <c r="E14" s="17" t="s">
        <v>65</v>
      </c>
      <c r="F14" s="17">
        <v>1594</v>
      </c>
      <c r="G14" s="17" t="s">
        <v>219</v>
      </c>
      <c r="H14" s="18">
        <v>46233</v>
      </c>
    </row>
    <row r="15" spans="1:8" x14ac:dyDescent="0.3">
      <c r="F15" s="20">
        <f>SUM(F12:F14)</f>
        <v>3908</v>
      </c>
    </row>
    <row r="17" spans="4:6" x14ac:dyDescent="0.3">
      <c r="D17" s="8" t="s">
        <v>221</v>
      </c>
      <c r="E17" s="8" t="s">
        <v>220</v>
      </c>
      <c r="F17" s="32">
        <f>F15+F11+F8</f>
        <v>9812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7"/>
  <sheetViews>
    <sheetView workbookViewId="0">
      <selection activeCell="G22" sqref="G22"/>
    </sheetView>
  </sheetViews>
  <sheetFormatPr defaultRowHeight="14.4" x14ac:dyDescent="0.3"/>
  <cols>
    <col min="1" max="1" width="5.5546875" style="24" bestFit="1" customWidth="1"/>
    <col min="2" max="2" width="6.5546875" style="24" bestFit="1" customWidth="1"/>
    <col min="3" max="3" width="20.6640625" style="24" bestFit="1" customWidth="1"/>
    <col min="4" max="4" width="30.88671875" style="24" bestFit="1" customWidth="1"/>
    <col min="5" max="5" width="12.109375" style="24" bestFit="1" customWidth="1"/>
    <col min="6" max="6" width="5.44140625" style="24" bestFit="1" customWidth="1"/>
    <col min="7" max="7" width="16.21875" style="24" bestFit="1" customWidth="1"/>
    <col min="8" max="8" width="8.109375" style="24" bestFit="1" customWidth="1"/>
    <col min="9" max="16384" width="8.88671875" style="24"/>
  </cols>
  <sheetData>
    <row r="1" spans="1:8" x14ac:dyDescent="0.3">
      <c r="A1" s="62" t="s">
        <v>154</v>
      </c>
      <c r="B1" s="62"/>
      <c r="C1" s="62"/>
      <c r="D1" s="62"/>
      <c r="E1" s="62"/>
      <c r="F1" s="62"/>
      <c r="G1" s="62"/>
      <c r="H1" s="27">
        <v>46197</v>
      </c>
    </row>
    <row r="2" spans="1:8" ht="15.6" x14ac:dyDescent="0.3">
      <c r="A2" s="6" t="s">
        <v>0</v>
      </c>
      <c r="B2" s="6" t="s">
        <v>1</v>
      </c>
      <c r="C2" s="6" t="s">
        <v>196</v>
      </c>
      <c r="D2" s="7" t="s">
        <v>2</v>
      </c>
      <c r="E2" s="7" t="s">
        <v>3</v>
      </c>
      <c r="F2" s="7" t="s">
        <v>4</v>
      </c>
      <c r="G2" s="6" t="s">
        <v>5</v>
      </c>
      <c r="H2" s="6" t="s">
        <v>6</v>
      </c>
    </row>
    <row r="3" spans="1:8" ht="15.6" x14ac:dyDescent="0.3">
      <c r="A3" s="11" t="s">
        <v>153</v>
      </c>
      <c r="B3" s="9" t="s">
        <v>154</v>
      </c>
      <c r="C3" s="10" t="s">
        <v>197</v>
      </c>
      <c r="D3" s="9" t="s">
        <v>155</v>
      </c>
      <c r="E3" s="9">
        <v>24561</v>
      </c>
      <c r="F3" s="9">
        <v>200</v>
      </c>
      <c r="G3" s="9" t="s">
        <v>156</v>
      </c>
      <c r="H3" s="10">
        <v>46178</v>
      </c>
    </row>
    <row r="4" spans="1:8" ht="15.6" x14ac:dyDescent="0.3">
      <c r="A4" s="11" t="s">
        <v>157</v>
      </c>
      <c r="B4" s="9" t="s">
        <v>154</v>
      </c>
      <c r="C4" s="10" t="s">
        <v>197</v>
      </c>
      <c r="D4" s="9" t="s">
        <v>158</v>
      </c>
      <c r="E4" s="9">
        <v>24561</v>
      </c>
      <c r="F4" s="9">
        <v>300</v>
      </c>
      <c r="G4" s="9" t="s">
        <v>156</v>
      </c>
      <c r="H4" s="10">
        <v>46178</v>
      </c>
    </row>
    <row r="5" spans="1:8" ht="15.6" x14ac:dyDescent="0.3">
      <c r="A5" s="9" t="s">
        <v>159</v>
      </c>
      <c r="B5" s="9" t="s">
        <v>154</v>
      </c>
      <c r="C5" s="10" t="s">
        <v>197</v>
      </c>
      <c r="D5" s="9" t="s">
        <v>160</v>
      </c>
      <c r="E5" s="9">
        <v>24561</v>
      </c>
      <c r="F5" s="9">
        <v>400</v>
      </c>
      <c r="G5" s="9" t="s">
        <v>156</v>
      </c>
      <c r="H5" s="10">
        <v>46178</v>
      </c>
    </row>
    <row r="6" spans="1:8" ht="15.6" x14ac:dyDescent="0.3">
      <c r="A6" s="9"/>
      <c r="B6" s="9"/>
      <c r="C6" s="10"/>
      <c r="D6" s="9"/>
      <c r="E6" s="9"/>
      <c r="F6" s="6">
        <f>SUM(F3:F5)</f>
        <v>900</v>
      </c>
      <c r="G6" s="9"/>
      <c r="H6" s="10"/>
    </row>
    <row r="7" spans="1:8" ht="15.6" x14ac:dyDescent="0.3">
      <c r="A7" s="9" t="s">
        <v>161</v>
      </c>
      <c r="B7" s="9" t="s">
        <v>154</v>
      </c>
      <c r="C7" s="10" t="s">
        <v>37</v>
      </c>
      <c r="D7" s="9" t="s">
        <v>162</v>
      </c>
      <c r="E7" s="9">
        <v>24705</v>
      </c>
      <c r="F7" s="9">
        <v>355</v>
      </c>
      <c r="G7" s="9" t="s">
        <v>143</v>
      </c>
      <c r="H7" s="10">
        <v>46183</v>
      </c>
    </row>
    <row r="8" spans="1:8" ht="15.6" x14ac:dyDescent="0.3">
      <c r="A8" s="9" t="s">
        <v>163</v>
      </c>
      <c r="B8" s="9" t="s">
        <v>154</v>
      </c>
      <c r="C8" s="10" t="s">
        <v>37</v>
      </c>
      <c r="D8" s="9" t="s">
        <v>164</v>
      </c>
      <c r="E8" s="9">
        <v>24705</v>
      </c>
      <c r="F8" s="9">
        <v>214</v>
      </c>
      <c r="G8" s="9" t="s">
        <v>143</v>
      </c>
      <c r="H8" s="10">
        <v>46183</v>
      </c>
    </row>
    <row r="9" spans="1:8" ht="15.6" x14ac:dyDescent="0.3">
      <c r="A9" s="9" t="s">
        <v>165</v>
      </c>
      <c r="B9" s="9" t="s">
        <v>154</v>
      </c>
      <c r="C9" s="10" t="s">
        <v>37</v>
      </c>
      <c r="D9" s="9" t="s">
        <v>166</v>
      </c>
      <c r="E9" s="9">
        <v>24705</v>
      </c>
      <c r="F9" s="9">
        <v>315</v>
      </c>
      <c r="G9" s="9" t="s">
        <v>143</v>
      </c>
      <c r="H9" s="10">
        <v>46183</v>
      </c>
    </row>
    <row r="10" spans="1:8" ht="15.6" x14ac:dyDescent="0.3">
      <c r="A10" s="9" t="s">
        <v>167</v>
      </c>
      <c r="B10" s="9" t="s">
        <v>154</v>
      </c>
      <c r="C10" s="10" t="s">
        <v>37</v>
      </c>
      <c r="D10" s="9" t="s">
        <v>168</v>
      </c>
      <c r="E10" s="9">
        <v>24705</v>
      </c>
      <c r="F10" s="9">
        <v>200</v>
      </c>
      <c r="G10" s="9" t="s">
        <v>143</v>
      </c>
      <c r="H10" s="10">
        <v>46183</v>
      </c>
    </row>
    <row r="11" spans="1:8" ht="15.6" x14ac:dyDescent="0.3">
      <c r="A11" s="9" t="s">
        <v>169</v>
      </c>
      <c r="B11" s="9" t="s">
        <v>154</v>
      </c>
      <c r="C11" s="10" t="s">
        <v>37</v>
      </c>
      <c r="D11" s="9" t="s">
        <v>170</v>
      </c>
      <c r="E11" s="9" t="s">
        <v>7</v>
      </c>
      <c r="F11" s="9">
        <v>300</v>
      </c>
      <c r="G11" s="9" t="s">
        <v>143</v>
      </c>
      <c r="H11" s="10">
        <v>46183</v>
      </c>
    </row>
    <row r="12" spans="1:8" ht="15.6" x14ac:dyDescent="0.3">
      <c r="A12" s="9" t="s">
        <v>171</v>
      </c>
      <c r="B12" s="9" t="s">
        <v>154</v>
      </c>
      <c r="C12" s="10" t="s">
        <v>37</v>
      </c>
      <c r="D12" s="9" t="s">
        <v>172</v>
      </c>
      <c r="E12" s="9" t="s">
        <v>7</v>
      </c>
      <c r="F12" s="9">
        <v>400</v>
      </c>
      <c r="G12" s="9" t="s">
        <v>143</v>
      </c>
      <c r="H12" s="10">
        <v>46183</v>
      </c>
    </row>
    <row r="13" spans="1:8" ht="15.6" x14ac:dyDescent="0.3">
      <c r="A13" s="9" t="s">
        <v>173</v>
      </c>
      <c r="B13" s="9" t="s">
        <v>154</v>
      </c>
      <c r="C13" s="10" t="s">
        <v>37</v>
      </c>
      <c r="D13" s="9" t="s">
        <v>174</v>
      </c>
      <c r="E13" s="9" t="s">
        <v>7</v>
      </c>
      <c r="F13" s="9">
        <v>200</v>
      </c>
      <c r="G13" s="9" t="s">
        <v>143</v>
      </c>
      <c r="H13" s="10">
        <v>46183</v>
      </c>
    </row>
    <row r="14" spans="1:8" ht="15.6" x14ac:dyDescent="0.3">
      <c r="A14" s="9" t="s">
        <v>175</v>
      </c>
      <c r="B14" s="9" t="s">
        <v>154</v>
      </c>
      <c r="C14" s="10" t="s">
        <v>37</v>
      </c>
      <c r="D14" s="9" t="s">
        <v>176</v>
      </c>
      <c r="E14" s="9" t="s">
        <v>7</v>
      </c>
      <c r="F14" s="9">
        <v>300</v>
      </c>
      <c r="G14" s="9" t="s">
        <v>143</v>
      </c>
      <c r="H14" s="10">
        <v>46183</v>
      </c>
    </row>
    <row r="15" spans="1:8" ht="15.6" x14ac:dyDescent="0.3">
      <c r="A15" s="9" t="s">
        <v>177</v>
      </c>
      <c r="B15" s="9" t="s">
        <v>154</v>
      </c>
      <c r="C15" s="10" t="s">
        <v>37</v>
      </c>
      <c r="D15" s="9" t="s">
        <v>178</v>
      </c>
      <c r="E15" s="9" t="s">
        <v>7</v>
      </c>
      <c r="F15" s="9">
        <v>400</v>
      </c>
      <c r="G15" s="9" t="s">
        <v>143</v>
      </c>
      <c r="H15" s="10">
        <v>46183</v>
      </c>
    </row>
    <row r="16" spans="1:8" ht="15.6" x14ac:dyDescent="0.3">
      <c r="A16" s="9" t="s">
        <v>179</v>
      </c>
      <c r="B16" s="9" t="s">
        <v>154</v>
      </c>
      <c r="C16" s="10" t="s">
        <v>37</v>
      </c>
      <c r="D16" s="9" t="s">
        <v>180</v>
      </c>
      <c r="E16" s="9">
        <v>213708</v>
      </c>
      <c r="F16" s="22">
        <v>250.00000000000003</v>
      </c>
      <c r="G16" s="9" t="s">
        <v>143</v>
      </c>
      <c r="H16" s="10">
        <v>46183</v>
      </c>
    </row>
    <row r="17" spans="1:8" ht="15.6" x14ac:dyDescent="0.3">
      <c r="A17" s="9" t="s">
        <v>181</v>
      </c>
      <c r="B17" s="9" t="s">
        <v>154</v>
      </c>
      <c r="C17" s="10" t="s">
        <v>37</v>
      </c>
      <c r="D17" s="9" t="s">
        <v>182</v>
      </c>
      <c r="E17" s="9">
        <v>213708</v>
      </c>
      <c r="F17" s="22">
        <v>503</v>
      </c>
      <c r="G17" s="9" t="s">
        <v>143</v>
      </c>
      <c r="H17" s="10">
        <v>46183</v>
      </c>
    </row>
    <row r="18" spans="1:8" ht="15.6" x14ac:dyDescent="0.3">
      <c r="A18" s="9" t="s">
        <v>188</v>
      </c>
      <c r="B18" s="9" t="s">
        <v>154</v>
      </c>
      <c r="C18" s="10" t="s">
        <v>37</v>
      </c>
      <c r="D18" s="9" t="s">
        <v>189</v>
      </c>
      <c r="E18" s="9">
        <v>213708</v>
      </c>
      <c r="F18" s="22">
        <v>569</v>
      </c>
      <c r="G18" s="9" t="s">
        <v>145</v>
      </c>
      <c r="H18" s="10">
        <v>46183</v>
      </c>
    </row>
    <row r="19" spans="1:8" ht="15.6" x14ac:dyDescent="0.3">
      <c r="A19" s="9" t="s">
        <v>190</v>
      </c>
      <c r="B19" s="9" t="s">
        <v>154</v>
      </c>
      <c r="C19" s="10" t="s">
        <v>37</v>
      </c>
      <c r="D19" s="9" t="s">
        <v>191</v>
      </c>
      <c r="E19" s="9">
        <v>213708</v>
      </c>
      <c r="F19" s="22">
        <v>223</v>
      </c>
      <c r="G19" s="9" t="s">
        <v>145</v>
      </c>
      <c r="H19" s="10">
        <v>46183</v>
      </c>
    </row>
    <row r="20" spans="1:8" ht="15.6" x14ac:dyDescent="0.3">
      <c r="A20" s="9"/>
      <c r="B20" s="9"/>
      <c r="C20" s="10"/>
      <c r="D20" s="9"/>
      <c r="E20" s="9"/>
      <c r="F20" s="23">
        <f>SUM(F7:F19)</f>
        <v>4229</v>
      </c>
      <c r="G20" s="9"/>
      <c r="H20" s="10"/>
    </row>
    <row r="21" spans="1:8" ht="15.6" x14ac:dyDescent="0.3">
      <c r="A21" s="9" t="s">
        <v>192</v>
      </c>
      <c r="B21" s="9" t="s">
        <v>154</v>
      </c>
      <c r="C21" s="9" t="s">
        <v>151</v>
      </c>
      <c r="D21" s="9" t="s">
        <v>193</v>
      </c>
      <c r="E21" s="9">
        <v>213708</v>
      </c>
      <c r="F21" s="22">
        <v>300</v>
      </c>
      <c r="G21" s="9" t="s">
        <v>148</v>
      </c>
      <c r="H21" s="10">
        <v>46183</v>
      </c>
    </row>
    <row r="22" spans="1:8" ht="15.6" x14ac:dyDescent="0.3">
      <c r="A22" s="9" t="s">
        <v>194</v>
      </c>
      <c r="B22" s="9" t="s">
        <v>154</v>
      </c>
      <c r="C22" s="9" t="s">
        <v>151</v>
      </c>
      <c r="D22" s="9" t="s">
        <v>195</v>
      </c>
      <c r="E22" s="9">
        <v>213708</v>
      </c>
      <c r="F22" s="22">
        <v>273</v>
      </c>
      <c r="G22" s="9" t="s">
        <v>148</v>
      </c>
      <c r="H22" s="10">
        <v>46183</v>
      </c>
    </row>
    <row r="23" spans="1:8" ht="15.6" x14ac:dyDescent="0.3">
      <c r="A23" s="9" t="s">
        <v>183</v>
      </c>
      <c r="B23" s="9" t="s">
        <v>154</v>
      </c>
      <c r="C23" s="9" t="s">
        <v>151</v>
      </c>
      <c r="D23" s="9" t="s">
        <v>185</v>
      </c>
      <c r="E23" s="9">
        <v>213708</v>
      </c>
      <c r="F23" s="22">
        <v>352</v>
      </c>
      <c r="G23" s="9" t="s">
        <v>148</v>
      </c>
      <c r="H23" s="10">
        <v>46188</v>
      </c>
    </row>
    <row r="24" spans="1:8" ht="15.6" x14ac:dyDescent="0.3">
      <c r="A24" s="9" t="s">
        <v>186</v>
      </c>
      <c r="B24" s="9" t="s">
        <v>154</v>
      </c>
      <c r="C24" s="9" t="s">
        <v>151</v>
      </c>
      <c r="D24" s="9" t="s">
        <v>187</v>
      </c>
      <c r="E24" s="9">
        <v>213708</v>
      </c>
      <c r="F24" s="22">
        <v>257</v>
      </c>
      <c r="G24" s="9" t="s">
        <v>148</v>
      </c>
      <c r="H24" s="10">
        <v>46188</v>
      </c>
    </row>
    <row r="25" spans="1:8" x14ac:dyDescent="0.3">
      <c r="F25" s="25">
        <f>SUM(F21:F24)</f>
        <v>1182</v>
      </c>
    </row>
    <row r="27" spans="1:8" x14ac:dyDescent="0.3">
      <c r="D27" s="29" t="s">
        <v>154</v>
      </c>
      <c r="E27" s="28" t="s">
        <v>152</v>
      </c>
      <c r="F27" s="26">
        <f>F6+F20+F25</f>
        <v>6311</v>
      </c>
    </row>
  </sheetData>
  <mergeCells count="1">
    <mergeCell ref="A1:G1"/>
  </mergeCells>
  <conditionalFormatting sqref="A3:A4">
    <cfRule type="duplicateValues" dxfId="12" priority="1"/>
  </conditionalFormatting>
  <conditionalFormatting sqref="D19:D20 D13:D15 D10">
    <cfRule type="duplicateValues" dxfId="11" priority="2"/>
  </conditionalFormatting>
  <conditionalFormatting sqref="D21 D16 D8 D23:D24 D18 D5:D6">
    <cfRule type="duplicateValues" dxfId="10" priority="3"/>
  </conditionalFormatting>
  <conditionalFormatting sqref="D23:D24 D5:D10 D12:D21">
    <cfRule type="duplicateValues" dxfId="9" priority="4"/>
  </conditionalFormatting>
  <conditionalFormatting sqref="D17 D12 D7 D9">
    <cfRule type="duplicateValues" dxfId="8" priority="5"/>
  </conditionalFormatting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selection activeCell="F17" sqref="F17"/>
    </sheetView>
  </sheetViews>
  <sheetFormatPr defaultRowHeight="14.4" x14ac:dyDescent="0.3"/>
  <cols>
    <col min="1" max="1" width="5.5546875" bestFit="1" customWidth="1"/>
    <col min="2" max="2" width="6.5546875" bestFit="1" customWidth="1"/>
    <col min="3" max="3" width="14.6640625" bestFit="1" customWidth="1"/>
    <col min="4" max="4" width="13.88671875" bestFit="1" customWidth="1"/>
    <col min="5" max="5" width="6.5546875" bestFit="1" customWidth="1"/>
    <col min="6" max="6" width="24.33203125" bestFit="1" customWidth="1"/>
    <col min="7" max="7" width="8.109375" bestFit="1" customWidth="1"/>
    <col min="8" max="8" width="8" bestFit="1" customWidth="1"/>
  </cols>
  <sheetData>
    <row r="1" spans="1:8" ht="21" x14ac:dyDescent="0.3">
      <c r="A1" s="63" t="s">
        <v>231</v>
      </c>
      <c r="B1" s="64"/>
      <c r="C1" s="64"/>
      <c r="D1" s="64"/>
      <c r="E1" s="64"/>
      <c r="F1" s="64"/>
      <c r="G1" s="64"/>
      <c r="H1" s="65"/>
    </row>
    <row r="2" spans="1:8" ht="31.2" x14ac:dyDescent="0.3">
      <c r="A2" s="37" t="s">
        <v>0</v>
      </c>
      <c r="B2" s="37" t="s">
        <v>1</v>
      </c>
      <c r="C2" s="38" t="s">
        <v>2</v>
      </c>
      <c r="D2" s="38" t="s">
        <v>3</v>
      </c>
      <c r="E2" s="38" t="s">
        <v>4</v>
      </c>
      <c r="F2" s="37" t="s">
        <v>5</v>
      </c>
      <c r="G2" s="37" t="s">
        <v>6</v>
      </c>
      <c r="H2" s="37" t="s">
        <v>230</v>
      </c>
    </row>
    <row r="3" spans="1:8" ht="15.6" x14ac:dyDescent="0.3">
      <c r="A3" s="39" t="s">
        <v>232</v>
      </c>
      <c r="B3" s="40" t="s">
        <v>233</v>
      </c>
      <c r="C3" s="41" t="s">
        <v>234</v>
      </c>
      <c r="D3" s="41" t="s">
        <v>235</v>
      </c>
      <c r="E3" s="42">
        <v>416</v>
      </c>
      <c r="F3" s="43" t="s">
        <v>236</v>
      </c>
      <c r="G3" s="44">
        <v>46197</v>
      </c>
      <c r="H3" s="44">
        <v>46130</v>
      </c>
    </row>
    <row r="4" spans="1:8" ht="15.6" x14ac:dyDescent="0.3">
      <c r="A4" s="39"/>
      <c r="B4" s="40"/>
      <c r="C4" s="41"/>
      <c r="D4" s="41"/>
      <c r="E4" s="41"/>
      <c r="F4" s="43"/>
      <c r="G4" s="44"/>
      <c r="H4" s="44"/>
    </row>
    <row r="5" spans="1:8" ht="15.6" x14ac:dyDescent="0.3">
      <c r="A5" s="40" t="s">
        <v>237</v>
      </c>
      <c r="B5" s="40" t="s">
        <v>238</v>
      </c>
      <c r="C5" s="41" t="s">
        <v>239</v>
      </c>
      <c r="D5" s="41" t="s">
        <v>240</v>
      </c>
      <c r="E5" s="41">
        <v>886</v>
      </c>
      <c r="F5" s="40" t="s">
        <v>241</v>
      </c>
      <c r="G5" s="45">
        <v>46195</v>
      </c>
      <c r="H5" s="44">
        <v>46111</v>
      </c>
    </row>
    <row r="6" spans="1:8" ht="15.6" x14ac:dyDescent="0.3">
      <c r="A6" s="40" t="s">
        <v>242</v>
      </c>
      <c r="B6" s="40" t="s">
        <v>238</v>
      </c>
      <c r="C6" s="41" t="s">
        <v>243</v>
      </c>
      <c r="D6" s="41" t="s">
        <v>240</v>
      </c>
      <c r="E6" s="41">
        <v>1605</v>
      </c>
      <c r="F6" s="40" t="s">
        <v>241</v>
      </c>
      <c r="G6" s="45">
        <v>46192</v>
      </c>
      <c r="H6" s="44">
        <v>46111</v>
      </c>
    </row>
    <row r="7" spans="1:8" ht="15.6" x14ac:dyDescent="0.3">
      <c r="A7" s="40" t="s">
        <v>244</v>
      </c>
      <c r="B7" s="40" t="s">
        <v>238</v>
      </c>
      <c r="C7" s="41" t="s">
        <v>245</v>
      </c>
      <c r="D7" s="41" t="s">
        <v>240</v>
      </c>
      <c r="E7" s="41">
        <v>1543</v>
      </c>
      <c r="F7" s="40" t="s">
        <v>241</v>
      </c>
      <c r="G7" s="45">
        <v>46193</v>
      </c>
      <c r="H7" s="44">
        <v>46111</v>
      </c>
    </row>
    <row r="8" spans="1:8" ht="15.6" x14ac:dyDescent="0.3">
      <c r="A8" s="40"/>
      <c r="B8" s="40"/>
      <c r="C8" s="41"/>
      <c r="D8" s="41"/>
      <c r="E8" s="42">
        <f>SUM(E5:E7)</f>
        <v>4034</v>
      </c>
      <c r="F8" s="40"/>
      <c r="G8" s="45"/>
      <c r="H8" s="44"/>
    </row>
    <row r="9" spans="1:8" ht="15.6" x14ac:dyDescent="0.3">
      <c r="A9" s="40" t="s">
        <v>246</v>
      </c>
      <c r="B9" s="40" t="s">
        <v>238</v>
      </c>
      <c r="C9" s="41" t="s">
        <v>247</v>
      </c>
      <c r="D9" s="41" t="s">
        <v>240</v>
      </c>
      <c r="E9" s="41">
        <v>212</v>
      </c>
      <c r="F9" s="40" t="s">
        <v>248</v>
      </c>
      <c r="G9" s="44">
        <v>46196</v>
      </c>
      <c r="H9" s="44">
        <v>46111</v>
      </c>
    </row>
    <row r="10" spans="1:8" ht="15.6" x14ac:dyDescent="0.3">
      <c r="A10" s="40" t="s">
        <v>249</v>
      </c>
      <c r="B10" s="40" t="s">
        <v>238</v>
      </c>
      <c r="C10" s="41" t="s">
        <v>250</v>
      </c>
      <c r="D10" s="41" t="s">
        <v>240</v>
      </c>
      <c r="E10" s="41">
        <v>1257</v>
      </c>
      <c r="F10" s="40" t="s">
        <v>248</v>
      </c>
      <c r="G10" s="45">
        <v>46207</v>
      </c>
      <c r="H10" s="44">
        <v>46111</v>
      </c>
    </row>
    <row r="11" spans="1:8" ht="15.6" x14ac:dyDescent="0.3">
      <c r="A11" s="39" t="s">
        <v>251</v>
      </c>
      <c r="B11" s="40" t="s">
        <v>238</v>
      </c>
      <c r="C11" s="41" t="s">
        <v>252</v>
      </c>
      <c r="D11" s="41">
        <v>1800</v>
      </c>
      <c r="E11" s="41">
        <v>784</v>
      </c>
      <c r="F11" s="40" t="s">
        <v>248</v>
      </c>
      <c r="G11" s="44">
        <v>46200</v>
      </c>
      <c r="H11" s="44">
        <v>46148</v>
      </c>
    </row>
    <row r="12" spans="1:8" ht="15.6" x14ac:dyDescent="0.3">
      <c r="A12" s="39" t="s">
        <v>253</v>
      </c>
      <c r="B12" s="40" t="s">
        <v>238</v>
      </c>
      <c r="C12" s="41" t="s">
        <v>254</v>
      </c>
      <c r="D12" s="41">
        <v>1800</v>
      </c>
      <c r="E12" s="41">
        <v>673</v>
      </c>
      <c r="F12" s="40" t="s">
        <v>248</v>
      </c>
      <c r="G12" s="44">
        <v>46201</v>
      </c>
      <c r="H12" s="44">
        <v>46148</v>
      </c>
    </row>
    <row r="13" spans="1:8" ht="15.6" x14ac:dyDescent="0.3">
      <c r="A13" s="39" t="s">
        <v>255</v>
      </c>
      <c r="B13" s="40" t="s">
        <v>238</v>
      </c>
      <c r="C13" s="41" t="s">
        <v>256</v>
      </c>
      <c r="D13" s="41">
        <v>1800</v>
      </c>
      <c r="E13" s="41">
        <v>888</v>
      </c>
      <c r="F13" s="40" t="s">
        <v>248</v>
      </c>
      <c r="G13" s="45">
        <v>46197</v>
      </c>
      <c r="H13" s="44">
        <v>46148</v>
      </c>
    </row>
    <row r="14" spans="1:8" ht="15.6" x14ac:dyDescent="0.3">
      <c r="A14" s="39"/>
      <c r="B14" s="40"/>
      <c r="C14" s="41"/>
      <c r="D14" s="41"/>
      <c r="E14" s="42">
        <f>SUM(E9:E13)</f>
        <v>3814</v>
      </c>
      <c r="F14" s="40"/>
      <c r="G14" s="45"/>
      <c r="H14" s="44"/>
    </row>
    <row r="15" spans="1:8" ht="15.6" x14ac:dyDescent="0.3">
      <c r="A15" s="40" t="s">
        <v>257</v>
      </c>
      <c r="B15" s="40" t="s">
        <v>238</v>
      </c>
      <c r="C15" s="41" t="s">
        <v>258</v>
      </c>
      <c r="D15" s="41" t="s">
        <v>240</v>
      </c>
      <c r="E15" s="41">
        <v>352</v>
      </c>
      <c r="F15" s="40" t="s">
        <v>259</v>
      </c>
      <c r="G15" s="44">
        <v>46208</v>
      </c>
      <c r="H15" s="44">
        <v>46111</v>
      </c>
    </row>
    <row r="16" spans="1:8" ht="15.6" x14ac:dyDescent="0.3">
      <c r="A16" s="39" t="s">
        <v>260</v>
      </c>
      <c r="B16" s="40" t="s">
        <v>238</v>
      </c>
      <c r="C16" s="41" t="s">
        <v>261</v>
      </c>
      <c r="D16" s="41">
        <v>1800</v>
      </c>
      <c r="E16" s="41">
        <v>662</v>
      </c>
      <c r="F16" s="40" t="s">
        <v>259</v>
      </c>
      <c r="G16" s="44">
        <v>46205</v>
      </c>
      <c r="H16" s="44">
        <v>46148</v>
      </c>
    </row>
    <row r="17" spans="1:8" ht="15.6" x14ac:dyDescent="0.3">
      <c r="A17" s="39" t="s">
        <v>262</v>
      </c>
      <c r="B17" s="40" t="s">
        <v>238</v>
      </c>
      <c r="C17" s="41" t="s">
        <v>263</v>
      </c>
      <c r="D17" s="41">
        <v>1800</v>
      </c>
      <c r="E17" s="41">
        <v>535</v>
      </c>
      <c r="F17" s="40" t="s">
        <v>259</v>
      </c>
      <c r="G17" s="44">
        <v>46206</v>
      </c>
      <c r="H17" s="44">
        <v>46148</v>
      </c>
    </row>
    <row r="18" spans="1:8" ht="15.6" x14ac:dyDescent="0.3">
      <c r="A18" s="39"/>
      <c r="B18" s="40"/>
      <c r="C18" s="41"/>
      <c r="D18" s="41"/>
      <c r="E18" s="42">
        <f>SUM(E15:E17)</f>
        <v>1549</v>
      </c>
      <c r="F18" s="40"/>
      <c r="G18" s="44"/>
      <c r="H18" s="44"/>
    </row>
    <row r="19" spans="1:8" ht="15.6" x14ac:dyDescent="0.3">
      <c r="A19" s="46" t="s">
        <v>264</v>
      </c>
      <c r="B19" s="40" t="s">
        <v>265</v>
      </c>
      <c r="C19" s="47" t="s">
        <v>266</v>
      </c>
      <c r="D19" s="47" t="s">
        <v>267</v>
      </c>
      <c r="E19" s="47">
        <v>265</v>
      </c>
      <c r="F19" s="40" t="s">
        <v>268</v>
      </c>
      <c r="G19" s="44" t="s">
        <v>269</v>
      </c>
      <c r="H19" s="44">
        <v>46155</v>
      </c>
    </row>
    <row r="20" spans="1:8" ht="15.6" x14ac:dyDescent="0.3">
      <c r="A20" s="46" t="s">
        <v>270</v>
      </c>
      <c r="B20" s="40" t="s">
        <v>265</v>
      </c>
      <c r="C20" s="47" t="s">
        <v>271</v>
      </c>
      <c r="D20" s="47" t="s">
        <v>267</v>
      </c>
      <c r="E20" s="47">
        <v>250</v>
      </c>
      <c r="F20" s="40" t="s">
        <v>268</v>
      </c>
      <c r="G20" s="44">
        <v>46205</v>
      </c>
      <c r="H20" s="44">
        <v>46155</v>
      </c>
    </row>
    <row r="21" spans="1:8" ht="15.6" x14ac:dyDescent="0.3">
      <c r="A21" s="46"/>
      <c r="B21" s="40"/>
      <c r="C21" s="47"/>
      <c r="D21" s="47"/>
      <c r="E21" s="48">
        <f>SUM(E19:E20)</f>
        <v>515</v>
      </c>
      <c r="F21" s="40"/>
      <c r="G21" s="44"/>
      <c r="H21" s="44"/>
    </row>
    <row r="22" spans="1:8" ht="15.6" x14ac:dyDescent="0.3">
      <c r="A22" s="39" t="s">
        <v>272</v>
      </c>
      <c r="B22" s="40" t="s">
        <v>238</v>
      </c>
      <c r="C22" s="41" t="s">
        <v>273</v>
      </c>
      <c r="D22" s="41" t="s">
        <v>274</v>
      </c>
      <c r="E22" s="41">
        <v>291</v>
      </c>
      <c r="F22" s="43" t="s">
        <v>275</v>
      </c>
      <c r="G22" s="44" t="s">
        <v>269</v>
      </c>
      <c r="H22" s="44">
        <v>46165</v>
      </c>
    </row>
    <row r="23" spans="1:8" ht="15.6" x14ac:dyDescent="0.3">
      <c r="A23" s="40" t="s">
        <v>276</v>
      </c>
      <c r="B23" s="40" t="s">
        <v>238</v>
      </c>
      <c r="C23" s="41" t="s">
        <v>277</v>
      </c>
      <c r="D23" s="41" t="s">
        <v>240</v>
      </c>
      <c r="E23" s="41">
        <v>865</v>
      </c>
      <c r="F23" s="40" t="s">
        <v>278</v>
      </c>
      <c r="G23" s="44" t="s">
        <v>269</v>
      </c>
      <c r="H23" s="44">
        <v>46111</v>
      </c>
    </row>
    <row r="24" spans="1:8" ht="15.6" x14ac:dyDescent="0.3">
      <c r="A24" s="39" t="s">
        <v>279</v>
      </c>
      <c r="B24" s="40" t="s">
        <v>238</v>
      </c>
      <c r="C24" s="41" t="s">
        <v>280</v>
      </c>
      <c r="D24" s="41" t="s">
        <v>274</v>
      </c>
      <c r="E24" s="41">
        <v>373</v>
      </c>
      <c r="F24" s="43" t="s">
        <v>275</v>
      </c>
      <c r="G24" s="44" t="s">
        <v>269</v>
      </c>
      <c r="H24" s="49">
        <v>46165</v>
      </c>
    </row>
    <row r="25" spans="1:8" ht="15.6" x14ac:dyDescent="0.3">
      <c r="A25" s="39" t="s">
        <v>281</v>
      </c>
      <c r="B25" s="40" t="s">
        <v>238</v>
      </c>
      <c r="C25" s="41" t="s">
        <v>282</v>
      </c>
      <c r="D25" s="41" t="s">
        <v>274</v>
      </c>
      <c r="E25" s="41">
        <v>208</v>
      </c>
      <c r="F25" s="43" t="s">
        <v>275</v>
      </c>
      <c r="G25" s="44" t="s">
        <v>269</v>
      </c>
      <c r="H25" s="49">
        <v>46165</v>
      </c>
    </row>
    <row r="26" spans="1:8" ht="15.6" x14ac:dyDescent="0.3">
      <c r="A26" s="39" t="s">
        <v>283</v>
      </c>
      <c r="B26" s="40" t="s">
        <v>238</v>
      </c>
      <c r="C26" s="41" t="s">
        <v>284</v>
      </c>
      <c r="D26" s="41" t="s">
        <v>274</v>
      </c>
      <c r="E26" s="41">
        <v>200</v>
      </c>
      <c r="F26" s="43" t="s">
        <v>275</v>
      </c>
      <c r="G26" s="44" t="s">
        <v>269</v>
      </c>
      <c r="H26" s="49">
        <v>46165</v>
      </c>
    </row>
    <row r="27" spans="1:8" ht="15.6" x14ac:dyDescent="0.3">
      <c r="A27" s="39" t="s">
        <v>285</v>
      </c>
      <c r="B27" s="40" t="s">
        <v>238</v>
      </c>
      <c r="C27" s="41" t="s">
        <v>286</v>
      </c>
      <c r="D27" s="41" t="s">
        <v>274</v>
      </c>
      <c r="E27" s="41">
        <v>606</v>
      </c>
      <c r="F27" s="43" t="s">
        <v>275</v>
      </c>
      <c r="G27" s="44" t="s">
        <v>269</v>
      </c>
      <c r="H27" s="49">
        <v>46165</v>
      </c>
    </row>
    <row r="28" spans="1:8" ht="15.6" x14ac:dyDescent="0.3">
      <c r="A28" s="39" t="s">
        <v>287</v>
      </c>
      <c r="B28" s="40" t="s">
        <v>238</v>
      </c>
      <c r="C28" s="41" t="s">
        <v>288</v>
      </c>
      <c r="D28" s="41" t="s">
        <v>274</v>
      </c>
      <c r="E28" s="41">
        <v>200</v>
      </c>
      <c r="F28" s="43" t="s">
        <v>275</v>
      </c>
      <c r="G28" s="44" t="s">
        <v>269</v>
      </c>
      <c r="H28" s="49">
        <v>46165</v>
      </c>
    </row>
    <row r="29" spans="1:8" ht="15.6" x14ac:dyDescent="0.3">
      <c r="A29" s="39"/>
      <c r="B29" s="40"/>
      <c r="C29" s="41"/>
      <c r="D29" s="41"/>
      <c r="E29" s="42">
        <f>SUM(E22:E28)</f>
        <v>2743</v>
      </c>
      <c r="F29" s="43"/>
      <c r="G29" s="44"/>
      <c r="H29" s="49"/>
    </row>
    <row r="30" spans="1:8" ht="15.6" x14ac:dyDescent="0.3">
      <c r="A30" s="39"/>
      <c r="B30" s="40"/>
      <c r="C30" s="41"/>
      <c r="D30" s="50" t="s">
        <v>289</v>
      </c>
      <c r="E30" s="50">
        <f>E29+E21+E18+E14+E8+E3</f>
        <v>13071</v>
      </c>
      <c r="F30" s="43"/>
      <c r="G30" s="44"/>
      <c r="H30" s="49"/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F22" sqref="F22"/>
    </sheetView>
  </sheetViews>
  <sheetFormatPr defaultRowHeight="14.4" x14ac:dyDescent="0.3"/>
  <cols>
    <col min="1" max="1" width="5.5546875" bestFit="1" customWidth="1"/>
    <col min="2" max="2" width="10.21875" bestFit="1" customWidth="1"/>
    <col min="3" max="3" width="14.6640625" bestFit="1" customWidth="1"/>
    <col min="4" max="4" width="14.109375" bestFit="1" customWidth="1"/>
    <col min="5" max="5" width="6.109375" bestFit="1" customWidth="1"/>
    <col min="6" max="6" width="34.44140625" bestFit="1" customWidth="1"/>
    <col min="7" max="7" width="7.44140625" bestFit="1" customWidth="1"/>
    <col min="8" max="8" width="9.77734375" bestFit="1" customWidth="1"/>
  </cols>
  <sheetData>
    <row r="1" spans="1:8" ht="21" x14ac:dyDescent="0.3">
      <c r="A1" s="66" t="s">
        <v>290</v>
      </c>
      <c r="B1" s="67"/>
      <c r="C1" s="67"/>
      <c r="D1" s="67"/>
      <c r="E1" s="67"/>
      <c r="F1" s="67"/>
      <c r="G1" s="67"/>
      <c r="H1" s="68"/>
    </row>
    <row r="2" spans="1:8" ht="15.6" x14ac:dyDescent="0.3">
      <c r="A2" s="52" t="s">
        <v>0</v>
      </c>
      <c r="B2" s="52" t="s">
        <v>291</v>
      </c>
      <c r="C2" s="52" t="s">
        <v>292</v>
      </c>
      <c r="D2" s="52" t="s">
        <v>205</v>
      </c>
      <c r="E2" s="52" t="s">
        <v>293</v>
      </c>
      <c r="F2" s="52" t="s">
        <v>294</v>
      </c>
      <c r="G2" s="52"/>
      <c r="H2" s="52" t="s">
        <v>295</v>
      </c>
    </row>
    <row r="3" spans="1:8" ht="15.6" x14ac:dyDescent="0.3">
      <c r="A3" s="43" t="s">
        <v>296</v>
      </c>
      <c r="B3" s="43" t="s">
        <v>297</v>
      </c>
      <c r="C3" s="53" t="s">
        <v>298</v>
      </c>
      <c r="D3" s="53" t="s">
        <v>299</v>
      </c>
      <c r="E3" s="54">
        <v>644</v>
      </c>
      <c r="F3" s="43" t="s">
        <v>300</v>
      </c>
      <c r="G3" s="45">
        <v>46234</v>
      </c>
      <c r="H3" s="49">
        <v>46161</v>
      </c>
    </row>
    <row r="4" spans="1:8" ht="15.6" x14ac:dyDescent="0.3">
      <c r="A4" s="55" t="s">
        <v>301</v>
      </c>
      <c r="B4" s="43" t="s">
        <v>297</v>
      </c>
      <c r="C4" s="53" t="s">
        <v>302</v>
      </c>
      <c r="D4" s="53" t="s">
        <v>299</v>
      </c>
      <c r="E4" s="54">
        <v>519</v>
      </c>
      <c r="F4" s="43" t="s">
        <v>303</v>
      </c>
      <c r="G4" s="45">
        <v>46238</v>
      </c>
      <c r="H4" s="49">
        <v>46171</v>
      </c>
    </row>
    <row r="5" spans="1:8" ht="15.6" x14ac:dyDescent="0.3">
      <c r="A5" s="55" t="s">
        <v>304</v>
      </c>
      <c r="B5" s="43" t="s">
        <v>297</v>
      </c>
      <c r="C5" s="53" t="s">
        <v>305</v>
      </c>
      <c r="D5" s="53" t="s">
        <v>306</v>
      </c>
      <c r="E5" s="54">
        <v>804</v>
      </c>
      <c r="F5" s="43" t="s">
        <v>307</v>
      </c>
      <c r="G5" s="49">
        <v>46234</v>
      </c>
      <c r="H5" s="49">
        <v>46148</v>
      </c>
    </row>
    <row r="6" spans="1:8" ht="15.6" x14ac:dyDescent="0.3">
      <c r="A6" s="55" t="s">
        <v>308</v>
      </c>
      <c r="B6" s="43" t="s">
        <v>297</v>
      </c>
      <c r="C6" s="53" t="s">
        <v>309</v>
      </c>
      <c r="D6" s="53" t="s">
        <v>310</v>
      </c>
      <c r="E6" s="54">
        <v>2941</v>
      </c>
      <c r="F6" s="43" t="s">
        <v>307</v>
      </c>
      <c r="G6" s="49">
        <v>46238</v>
      </c>
      <c r="H6" s="49">
        <v>46173</v>
      </c>
    </row>
    <row r="7" spans="1:8" ht="15.6" x14ac:dyDescent="0.3">
      <c r="A7" s="56"/>
      <c r="B7" s="57"/>
      <c r="C7" s="56"/>
      <c r="D7" s="56"/>
      <c r="E7" s="52">
        <f>SUM(E3:E6)</f>
        <v>4908</v>
      </c>
      <c r="F7" s="56"/>
      <c r="G7" s="56"/>
      <c r="H7" s="56"/>
    </row>
  </sheetData>
  <mergeCells count="1">
    <mergeCell ref="A1:H1"/>
  </mergeCells>
  <conditionalFormatting sqref="A4">
    <cfRule type="duplicateValues" dxfId="7" priority="2"/>
  </conditionalFormatting>
  <conditionalFormatting sqref="A5:A6">
    <cfRule type="duplicateValues" dxfId="6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1"/>
  <sheetViews>
    <sheetView workbookViewId="0">
      <selection activeCell="K16" sqref="K16"/>
    </sheetView>
  </sheetViews>
  <sheetFormatPr defaultRowHeight="14.4" x14ac:dyDescent="0.3"/>
  <cols>
    <col min="1" max="1" width="3.33203125" bestFit="1" customWidth="1"/>
    <col min="2" max="2" width="16.109375" bestFit="1" customWidth="1"/>
    <col min="3" max="3" width="14.21875" bestFit="1" customWidth="1"/>
    <col min="4" max="4" width="12.109375" bestFit="1" customWidth="1"/>
    <col min="5" max="5" width="6.5546875" bestFit="1" customWidth="1"/>
    <col min="6" max="6" width="28.21875" bestFit="1" customWidth="1"/>
    <col min="7" max="7" width="10.21875" customWidth="1"/>
    <col min="8" max="8" width="9.77734375" bestFit="1" customWidth="1"/>
  </cols>
  <sheetData>
    <row r="1" spans="1:8" ht="21" x14ac:dyDescent="0.4">
      <c r="A1" s="69" t="s">
        <v>311</v>
      </c>
      <c r="B1" s="70"/>
      <c r="C1" s="70"/>
      <c r="D1" s="70"/>
      <c r="E1" s="70"/>
      <c r="F1" s="70"/>
      <c r="G1" s="70"/>
      <c r="H1" s="71"/>
    </row>
    <row r="2" spans="1:8" ht="15.6" x14ac:dyDescent="0.3">
      <c r="A2" s="52" t="s">
        <v>0</v>
      </c>
      <c r="B2" s="52" t="s">
        <v>291</v>
      </c>
      <c r="C2" s="52" t="s">
        <v>292</v>
      </c>
      <c r="D2" s="52" t="s">
        <v>205</v>
      </c>
      <c r="E2" s="52" t="s">
        <v>293</v>
      </c>
      <c r="F2" s="52" t="s">
        <v>294</v>
      </c>
      <c r="G2" s="52" t="s">
        <v>341</v>
      </c>
      <c r="H2" s="52" t="s">
        <v>295</v>
      </c>
    </row>
    <row r="3" spans="1:8" ht="15.6" x14ac:dyDescent="0.3">
      <c r="A3" s="58"/>
      <c r="B3" s="43" t="s">
        <v>312</v>
      </c>
      <c r="C3" s="59" t="s">
        <v>313</v>
      </c>
      <c r="D3" s="40" t="s">
        <v>314</v>
      </c>
      <c r="E3" s="59">
        <v>600</v>
      </c>
      <c r="F3" s="59" t="s">
        <v>315</v>
      </c>
      <c r="G3" s="59" t="s">
        <v>269</v>
      </c>
      <c r="H3" s="51">
        <v>46165</v>
      </c>
    </row>
    <row r="4" spans="1:8" ht="15.6" x14ac:dyDescent="0.3">
      <c r="A4" s="58"/>
      <c r="B4" s="43" t="s">
        <v>312</v>
      </c>
      <c r="C4" s="59" t="s">
        <v>316</v>
      </c>
      <c r="D4" s="40" t="s">
        <v>314</v>
      </c>
      <c r="E4" s="59">
        <v>600</v>
      </c>
      <c r="F4" s="59" t="s">
        <v>315</v>
      </c>
      <c r="G4" s="59" t="s">
        <v>269</v>
      </c>
      <c r="H4" s="51">
        <v>46165</v>
      </c>
    </row>
    <row r="5" spans="1:8" ht="15.6" x14ac:dyDescent="0.3">
      <c r="A5" s="58"/>
      <c r="B5" s="43" t="s">
        <v>312</v>
      </c>
      <c r="C5" s="59" t="s">
        <v>317</v>
      </c>
      <c r="D5" s="43" t="s">
        <v>314</v>
      </c>
      <c r="E5" s="59">
        <v>600</v>
      </c>
      <c r="F5" s="59" t="s">
        <v>315</v>
      </c>
      <c r="G5" s="59" t="s">
        <v>269</v>
      </c>
      <c r="H5" s="51">
        <v>46165</v>
      </c>
    </row>
    <row r="6" spans="1:8" ht="15.6" x14ac:dyDescent="0.3">
      <c r="A6" s="58"/>
      <c r="B6" s="43" t="s">
        <v>312</v>
      </c>
      <c r="C6" s="59" t="s">
        <v>318</v>
      </c>
      <c r="D6" s="43" t="s">
        <v>314</v>
      </c>
      <c r="E6" s="59">
        <v>600</v>
      </c>
      <c r="F6" s="59" t="s">
        <v>315</v>
      </c>
      <c r="G6" s="59" t="s">
        <v>269</v>
      </c>
      <c r="H6" s="51">
        <v>46165</v>
      </c>
    </row>
    <row r="7" spans="1:8" ht="15.6" x14ac:dyDescent="0.3">
      <c r="A7" s="58"/>
      <c r="B7" s="43" t="s">
        <v>312</v>
      </c>
      <c r="C7" s="59" t="s">
        <v>319</v>
      </c>
      <c r="D7" s="43" t="s">
        <v>7</v>
      </c>
      <c r="E7" s="59">
        <v>600</v>
      </c>
      <c r="F7" s="59" t="s">
        <v>315</v>
      </c>
      <c r="G7" s="59" t="s">
        <v>269</v>
      </c>
      <c r="H7" s="51">
        <v>46165</v>
      </c>
    </row>
    <row r="8" spans="1:8" ht="15.6" x14ac:dyDescent="0.3">
      <c r="A8" s="58"/>
      <c r="B8" s="43" t="s">
        <v>312</v>
      </c>
      <c r="C8" s="59" t="s">
        <v>320</v>
      </c>
      <c r="D8" s="43" t="s">
        <v>321</v>
      </c>
      <c r="E8" s="59">
        <v>600</v>
      </c>
      <c r="F8" s="59" t="s">
        <v>315</v>
      </c>
      <c r="G8" s="59" t="s">
        <v>269</v>
      </c>
      <c r="H8" s="51">
        <v>46165</v>
      </c>
    </row>
    <row r="9" spans="1:8" ht="15.6" x14ac:dyDescent="0.3">
      <c r="A9" s="58"/>
      <c r="B9" s="43" t="s">
        <v>312</v>
      </c>
      <c r="C9" s="59" t="s">
        <v>329</v>
      </c>
      <c r="D9" s="40">
        <v>924302</v>
      </c>
      <c r="E9" s="59">
        <v>600</v>
      </c>
      <c r="F9" s="59" t="s">
        <v>330</v>
      </c>
      <c r="G9" s="59" t="s">
        <v>269</v>
      </c>
      <c r="H9" s="51">
        <v>46165</v>
      </c>
    </row>
    <row r="10" spans="1:8" ht="15.6" x14ac:dyDescent="0.3">
      <c r="A10" s="58"/>
      <c r="B10" s="43" t="s">
        <v>312</v>
      </c>
      <c r="C10" s="59" t="s">
        <v>331</v>
      </c>
      <c r="D10" s="40">
        <v>924302</v>
      </c>
      <c r="E10" s="59">
        <v>600</v>
      </c>
      <c r="F10" s="59" t="s">
        <v>330</v>
      </c>
      <c r="G10" s="59" t="s">
        <v>269</v>
      </c>
      <c r="H10" s="51">
        <v>46165</v>
      </c>
    </row>
    <row r="11" spans="1:8" ht="15.6" x14ac:dyDescent="0.3">
      <c r="A11" s="58"/>
      <c r="B11" s="43" t="s">
        <v>312</v>
      </c>
      <c r="C11" s="59" t="s">
        <v>332</v>
      </c>
      <c r="D11" s="40">
        <v>924302</v>
      </c>
      <c r="E11" s="59">
        <v>600</v>
      </c>
      <c r="F11" s="59" t="s">
        <v>330</v>
      </c>
      <c r="G11" s="59" t="s">
        <v>269</v>
      </c>
      <c r="H11" s="51">
        <v>46165</v>
      </c>
    </row>
    <row r="12" spans="1:8" ht="15.6" x14ac:dyDescent="0.3">
      <c r="A12" s="58"/>
      <c r="B12" s="43" t="s">
        <v>312</v>
      </c>
      <c r="C12" s="59" t="s">
        <v>333</v>
      </c>
      <c r="D12" s="43" t="s">
        <v>7</v>
      </c>
      <c r="E12" s="59">
        <v>600</v>
      </c>
      <c r="F12" s="59" t="s">
        <v>334</v>
      </c>
      <c r="G12" s="59" t="s">
        <v>269</v>
      </c>
      <c r="H12" s="51">
        <v>46165</v>
      </c>
    </row>
    <row r="13" spans="1:8" ht="15.6" x14ac:dyDescent="0.3">
      <c r="A13" s="58"/>
      <c r="B13" s="43" t="s">
        <v>312</v>
      </c>
      <c r="C13" s="59" t="s">
        <v>335</v>
      </c>
      <c r="D13" s="40">
        <v>924302</v>
      </c>
      <c r="E13" s="59">
        <v>600</v>
      </c>
      <c r="F13" s="59" t="s">
        <v>336</v>
      </c>
      <c r="G13" s="59" t="s">
        <v>269</v>
      </c>
      <c r="H13" s="51">
        <v>46165</v>
      </c>
    </row>
    <row r="14" spans="1:8" ht="15.6" x14ac:dyDescent="0.3">
      <c r="A14" s="58"/>
      <c r="B14" s="43" t="s">
        <v>312</v>
      </c>
      <c r="C14" s="43" t="s">
        <v>337</v>
      </c>
      <c r="D14" s="59" t="s">
        <v>338</v>
      </c>
      <c r="E14" s="43">
        <v>500</v>
      </c>
      <c r="F14" s="59" t="s">
        <v>336</v>
      </c>
      <c r="G14" s="59" t="s">
        <v>269</v>
      </c>
      <c r="H14" s="51">
        <v>46165</v>
      </c>
    </row>
    <row r="15" spans="1:8" ht="15.6" x14ac:dyDescent="0.3">
      <c r="A15" s="58"/>
      <c r="B15" s="43" t="s">
        <v>312</v>
      </c>
      <c r="C15" s="59" t="s">
        <v>339</v>
      </c>
      <c r="D15" s="40">
        <v>924302</v>
      </c>
      <c r="E15" s="59">
        <v>600</v>
      </c>
      <c r="F15" s="59" t="s">
        <v>336</v>
      </c>
      <c r="G15" s="59" t="s">
        <v>269</v>
      </c>
      <c r="H15" s="51">
        <v>46165</v>
      </c>
    </row>
    <row r="16" spans="1:8" ht="15.6" x14ac:dyDescent="0.3">
      <c r="A16" s="58"/>
      <c r="B16" s="43" t="s">
        <v>312</v>
      </c>
      <c r="C16" s="59" t="s">
        <v>340</v>
      </c>
      <c r="D16" s="40">
        <v>24254</v>
      </c>
      <c r="E16" s="59">
        <v>600</v>
      </c>
      <c r="F16" s="59" t="s">
        <v>336</v>
      </c>
      <c r="G16" s="59" t="s">
        <v>269</v>
      </c>
      <c r="H16" s="51">
        <v>46165</v>
      </c>
    </row>
    <row r="17" spans="1:8" ht="15.6" x14ac:dyDescent="0.3">
      <c r="A17" s="58"/>
      <c r="B17" s="43" t="s">
        <v>312</v>
      </c>
      <c r="C17" s="59" t="s">
        <v>322</v>
      </c>
      <c r="D17" s="43" t="s">
        <v>323</v>
      </c>
      <c r="E17" s="59">
        <v>600</v>
      </c>
      <c r="F17" s="59" t="s">
        <v>315</v>
      </c>
      <c r="G17" s="59" t="s">
        <v>324</v>
      </c>
      <c r="H17" s="51">
        <v>46165</v>
      </c>
    </row>
    <row r="18" spans="1:8" ht="15.6" x14ac:dyDescent="0.3">
      <c r="A18" s="58"/>
      <c r="B18" s="43" t="s">
        <v>312</v>
      </c>
      <c r="C18" s="59" t="s">
        <v>325</v>
      </c>
      <c r="D18" s="43" t="s">
        <v>323</v>
      </c>
      <c r="E18" s="59">
        <v>600</v>
      </c>
      <c r="F18" s="59" t="s">
        <v>315</v>
      </c>
      <c r="G18" s="59" t="s">
        <v>324</v>
      </c>
      <c r="H18" s="51">
        <v>46165</v>
      </c>
    </row>
    <row r="19" spans="1:8" ht="15.6" x14ac:dyDescent="0.3">
      <c r="A19" s="58"/>
      <c r="B19" s="43" t="s">
        <v>312</v>
      </c>
      <c r="C19" s="59" t="s">
        <v>326</v>
      </c>
      <c r="D19" s="43" t="s">
        <v>323</v>
      </c>
      <c r="E19" s="59">
        <v>600</v>
      </c>
      <c r="F19" s="59" t="s">
        <v>315</v>
      </c>
      <c r="G19" s="59" t="s">
        <v>324</v>
      </c>
      <c r="H19" s="51">
        <v>46165</v>
      </c>
    </row>
    <row r="20" spans="1:8" ht="15.6" x14ac:dyDescent="0.3">
      <c r="A20" s="58"/>
      <c r="B20" s="43" t="s">
        <v>312</v>
      </c>
      <c r="C20" s="59" t="s">
        <v>327</v>
      </c>
      <c r="D20" s="40" t="s">
        <v>321</v>
      </c>
      <c r="E20" s="59">
        <v>600</v>
      </c>
      <c r="F20" s="59" t="s">
        <v>328</v>
      </c>
      <c r="G20" s="59" t="s">
        <v>324</v>
      </c>
      <c r="H20" s="51">
        <v>46165</v>
      </c>
    </row>
    <row r="21" spans="1:8" ht="15.6" x14ac:dyDescent="0.3">
      <c r="A21" s="56"/>
      <c r="B21" s="57"/>
      <c r="C21" s="56"/>
      <c r="D21" s="56"/>
      <c r="E21" s="52">
        <f>SUM(E3:E16)</f>
        <v>8300</v>
      </c>
      <c r="F21" s="56"/>
      <c r="G21" s="56"/>
      <c r="H21" s="56"/>
    </row>
  </sheetData>
  <mergeCells count="1">
    <mergeCell ref="A1:H1"/>
  </mergeCells>
  <conditionalFormatting sqref="C8:C9 C4 C6">
    <cfRule type="duplicateValues" dxfId="5" priority="4"/>
  </conditionalFormatting>
  <conditionalFormatting sqref="C17:C19 C12 C7">
    <cfRule type="duplicateValues" dxfId="4" priority="3"/>
  </conditionalFormatting>
  <conditionalFormatting sqref="C15 C3:C13 C17:C20">
    <cfRule type="duplicateValues" dxfId="3" priority="6"/>
  </conditionalFormatting>
  <conditionalFormatting sqref="C20 C15 C5 C10:C11 C13 C3">
    <cfRule type="duplicateValues" dxfId="2" priority="5"/>
  </conditionalFormatting>
  <conditionalFormatting sqref="C16">
    <cfRule type="duplicateValues" dxfId="1" priority="1"/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SPYKAR</vt:lpstr>
      <vt:lpstr>MONTE CARLO</vt:lpstr>
      <vt:lpstr>PEPE</vt:lpstr>
      <vt:lpstr>KKCL</vt:lpstr>
      <vt:lpstr>RAYMOND</vt:lpstr>
      <vt:lpstr>BENETTON</vt:lpstr>
      <vt:lpstr>ARVIND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vinita</dc:creator>
  <cp:lastModifiedBy>Alfesha</cp:lastModifiedBy>
  <cp:lastPrinted>2026-06-24T06:44:50Z</cp:lastPrinted>
  <dcterms:created xsi:type="dcterms:W3CDTF">2015-06-05T18:17:20Z</dcterms:created>
  <dcterms:modified xsi:type="dcterms:W3CDTF">2026-06-25T09:49:22Z</dcterms:modified>
</cp:coreProperties>
</file>